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Lavaground\Documents\GitHub\Crafting-Calculator\"/>
    </mc:Choice>
  </mc:AlternateContent>
  <bookViews>
    <workbookView xWindow="0" yWindow="0" windowWidth="21570" windowHeight="9225"/>
  </bookViews>
  <sheets>
    <sheet name="Crafting &amp; Mats Calculator" sheetId="5" r:id="rId1"/>
    <sheet name="List &amp; Dump" sheetId="2" state="hidden" r:id="rId2"/>
    <sheet name="Apprentice - Belt" sheetId="6" state="hidden" r:id="rId3"/>
    <sheet name="Apprentice - Guards" sheetId="36" state="hidden" r:id="rId4"/>
    <sheet name="Apprentice - Cap" sheetId="23" state="hidden" r:id="rId5"/>
    <sheet name="Apprentice - Boots" sheetId="50" state="hidden" r:id="rId6"/>
    <sheet name="Apprentice - Fists" sheetId="43" state="hidden" r:id="rId7"/>
    <sheet name="Apprentice - Jerkin" sheetId="61" state="hidden" r:id="rId8"/>
    <sheet name="Apprentice - Breeches" sheetId="69" state="hidden" r:id="rId9"/>
    <sheet name="Craftsman - Belt" sheetId="7" state="hidden" r:id="rId10"/>
    <sheet name="Craftsman - Guards" sheetId="35" state="hidden" r:id="rId11"/>
    <sheet name="Craftsman - Cap" sheetId="22" state="hidden" r:id="rId12"/>
    <sheet name="Craftsman - Boots" sheetId="49" state="hidden" r:id="rId13"/>
    <sheet name="Craftsman - Fists" sheetId="46" state="hidden" r:id="rId14"/>
    <sheet name="Craftsman - Jerkin" sheetId="60" state="hidden" r:id="rId15"/>
    <sheet name="Craftsman -Breeches" sheetId="68" state="hidden" r:id="rId16"/>
    <sheet name="Artificer - Belt" sheetId="8" state="hidden" r:id="rId17"/>
    <sheet name="Artificer - Guards" sheetId="34" state="hidden" r:id="rId18"/>
    <sheet name="Artificer - Cap" sheetId="21" state="hidden" r:id="rId19"/>
    <sheet name="Artificer - Boots" sheetId="48" state="hidden" r:id="rId20"/>
    <sheet name="Artificer - Fists" sheetId="45" state="hidden" r:id="rId21"/>
    <sheet name="Artificer - Jerkin" sheetId="59" state="hidden" r:id="rId22"/>
    <sheet name="Artificer - Breeches" sheetId="67" state="hidden" r:id="rId23"/>
    <sheet name="Artisan - Belt" sheetId="9" state="hidden" r:id="rId24"/>
    <sheet name="Artisan - Guards" sheetId="33" state="hidden" r:id="rId25"/>
    <sheet name="Artisan - Cap" sheetId="20" state="hidden" r:id="rId26"/>
    <sheet name="Artisan - Boots" sheetId="47" state="hidden" r:id="rId27"/>
    <sheet name="Artisan - Fists" sheetId="44" state="hidden" r:id="rId28"/>
    <sheet name="Artisan - Jerkin" sheetId="58" state="hidden" r:id="rId29"/>
    <sheet name="Artisan - Breeches" sheetId="66" state="hidden" r:id="rId30"/>
    <sheet name="Conqueror - Belt" sheetId="10" state="hidden" r:id="rId31"/>
    <sheet name="Conqueror - Guards" sheetId="32" state="hidden" r:id="rId32"/>
    <sheet name="Conqueror - Cap" sheetId="19" state="hidden" r:id="rId33"/>
    <sheet name="Conqueror - Boots" sheetId="52" state="hidden" r:id="rId34"/>
    <sheet name="Conqueror - Fists" sheetId="42" state="hidden" r:id="rId35"/>
    <sheet name="Conqueror - Jerkin" sheetId="57" state="hidden" r:id="rId36"/>
    <sheet name="Conqueror - Breeches" sheetId="65" state="hidden" r:id="rId37"/>
    <sheet name="Illustrious - Belt" sheetId="11" state="hidden" r:id="rId38"/>
    <sheet name="Illustrious - Guards" sheetId="31" state="hidden" r:id="rId39"/>
    <sheet name="Illustrious - Cap" sheetId="18" state="hidden" r:id="rId40"/>
    <sheet name="Illustrious - Boots" sheetId="53" state="hidden" r:id="rId41"/>
    <sheet name="Illustrious - Fists" sheetId="41" state="hidden" r:id="rId42"/>
    <sheet name="Illustrious - Jerkin" sheetId="56" state="hidden" r:id="rId43"/>
    <sheet name="Illustrious - Breeches" sheetId="64" state="hidden" r:id="rId44"/>
    <sheet name="Magnificent - Belt" sheetId="12" state="hidden" r:id="rId45"/>
    <sheet name="Magnificent - Guards" sheetId="30" state="hidden" r:id="rId46"/>
    <sheet name="Magnificent - Cap" sheetId="17" state="hidden" r:id="rId47"/>
    <sheet name="Magnificent - Boots" sheetId="39" state="hidden" r:id="rId48"/>
    <sheet name="Magnificent - Fists" sheetId="40" state="hidden" r:id="rId49"/>
    <sheet name="Magnificent - Jerkin" sheetId="55" state="hidden" r:id="rId50"/>
    <sheet name="Magnificent - Breeches" sheetId="63" state="hidden" r:id="rId51"/>
    <sheet name="Epherium - Belt" sheetId="13" state="hidden" r:id="rId52"/>
    <sheet name="Epherium - Guards" sheetId="29" state="hidden" r:id="rId53"/>
    <sheet name="Epherium - Cap" sheetId="16" state="hidden" r:id="rId54"/>
    <sheet name="Epherium - Boots" sheetId="37" state="hidden" r:id="rId55"/>
    <sheet name="Epherium - Fists" sheetId="38" state="hidden" r:id="rId56"/>
    <sheet name="Epherium - Jerkin" sheetId="54" state="hidden" r:id="rId57"/>
    <sheet name="Epherium - Breeches" sheetId="62" state="hidden" r:id="rId58"/>
    <sheet name="Delphinad - Belt" sheetId="14" state="hidden" r:id="rId59"/>
    <sheet name="Delphinad - Cap" sheetId="15" state="hidden" r:id="rId60"/>
    <sheet name="Delphinad - Jerkin" sheetId="24" state="hidden" r:id="rId61"/>
    <sheet name="Delphinad - Breeches" sheetId="25" state="hidden" r:id="rId62"/>
    <sheet name="Delphinad - Fists" sheetId="26" state="hidden" r:id="rId63"/>
    <sheet name="Delphinad - Boots" sheetId="27" state="hidden" r:id="rId64"/>
    <sheet name="Delphinad - Guards" sheetId="28" state="hidden" r:id="rId65"/>
  </sheets>
  <definedNames>
    <definedName name="_xlnm._FilterDatabase" localSheetId="0" hidden="1">'Crafting &amp; Mats Calculator'!$B$5:$F$16</definedName>
    <definedName name="Kind">'List &amp; Dump'!$E$1:$E$3</definedName>
    <definedName name="Level">'List &amp; Dump'!$A$1:$A$9</definedName>
    <definedName name="Type">'List &amp; Dump'!$C$1:$C$7</definedName>
  </definedNames>
  <calcPr calcId="152511"/>
  <customWorkbookViews>
    <customWorkbookView name="Live View" guid="{4ADA534B-DCF1-41A0-903F-BF3907DC4701}" includePrintSettings="0" includeHiddenRowCol="0" maximized="1" xWindow="-8" yWindow="-8" windowWidth="1936" windowHeight="1014" activeSheetId="5"/>
    <customWorkbookView name="All Sheets" guid="{C0648E25-1909-4A90-B488-27428350B38C}" includePrintSettings="0" includeHiddenRowCol="0" maximized="1" xWindow="-8" yWindow="-8" windowWidth="1936" windowHeight="1014" activeSheetId="5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5" l="1"/>
  <c r="C7" i="5" l="1"/>
  <c r="D7" i="5"/>
  <c r="E7" i="5"/>
  <c r="F7" i="5"/>
  <c r="C8" i="5"/>
  <c r="F8" i="5"/>
  <c r="B9" i="5"/>
  <c r="C9" i="5"/>
  <c r="D9" i="5"/>
  <c r="E9" i="5"/>
  <c r="F9" i="5"/>
  <c r="B10" i="5"/>
  <c r="B8" i="5" s="1"/>
  <c r="C10" i="5"/>
  <c r="F10" i="5"/>
  <c r="C11" i="5"/>
  <c r="D11" i="5"/>
  <c r="E11" i="5"/>
  <c r="F11" i="5"/>
  <c r="C12" i="5"/>
  <c r="D12" i="5"/>
  <c r="E23" i="5" s="1"/>
  <c r="E12" i="5"/>
  <c r="D10" i="5" s="1"/>
  <c r="F12" i="5"/>
  <c r="D13" i="5"/>
  <c r="F13" i="5"/>
  <c r="D14" i="5"/>
  <c r="F27" i="5" s="1"/>
  <c r="F14" i="5"/>
  <c r="F25" i="5" l="1"/>
  <c r="F21" i="5"/>
  <c r="E21" i="5"/>
  <c r="E25" i="5"/>
  <c r="D8" i="5"/>
  <c r="C21" i="5" s="1"/>
  <c r="F6" i="5"/>
  <c r="E8" i="5"/>
  <c r="E6" i="5" s="1"/>
  <c r="F16" i="5"/>
  <c r="E29" i="5"/>
  <c r="F23" i="5"/>
  <c r="E27" i="5"/>
  <c r="D27" i="5"/>
  <c r="D21" i="5"/>
  <c r="D23" i="5"/>
  <c r="D25" i="5"/>
  <c r="F29" i="5"/>
  <c r="C25" i="5" l="1"/>
  <c r="C23" i="5"/>
</calcChain>
</file>

<file path=xl/sharedStrings.xml><?xml version="1.0" encoding="utf-8"?>
<sst xmlns="http://schemas.openxmlformats.org/spreadsheetml/2006/main" count="2234" uniqueCount="64">
  <si>
    <t>Moonlight Archeum Dust</t>
  </si>
  <si>
    <t>Leather</t>
  </si>
  <si>
    <t>Blue Salt Wedge</t>
  </si>
  <si>
    <t>Old Craft</t>
  </si>
  <si>
    <t>Moonlight Archeum Shard</t>
  </si>
  <si>
    <t>Small Seed Oil</t>
  </si>
  <si>
    <t>Blue Salt Gloves</t>
  </si>
  <si>
    <t>Moonlight Archeum Crystal</t>
  </si>
  <si>
    <t>Viscous Glossy Oil</t>
  </si>
  <si>
    <t>Gilda Star</t>
  </si>
  <si>
    <t>Fine Leather</t>
  </si>
  <si>
    <t>Apprentice</t>
  </si>
  <si>
    <t>Craftsman</t>
  </si>
  <si>
    <t>Artificer</t>
  </si>
  <si>
    <t>Artisan</t>
  </si>
  <si>
    <t>Conqueror</t>
  </si>
  <si>
    <t>Illustrious</t>
  </si>
  <si>
    <t>Magnificent</t>
  </si>
  <si>
    <t>Moonlight Archeum Essence</t>
  </si>
  <si>
    <t>Emulsified Oil</t>
  </si>
  <si>
    <t>Epherium</t>
  </si>
  <si>
    <t>Blue Salt Hammer</t>
  </si>
  <si>
    <t>Delphinad</t>
  </si>
  <si>
    <t>Deeply Colored Oil</t>
  </si>
  <si>
    <t>Wind Spirit Leather</t>
  </si>
  <si>
    <t>Gilda Star Dust</t>
  </si>
  <si>
    <t>Moonlight Archeum Dust Total</t>
  </si>
  <si>
    <t>Pelt Total</t>
  </si>
  <si>
    <t>Mysterious Garden Powder</t>
  </si>
  <si>
    <t>Charcoal Stabilizer</t>
  </si>
  <si>
    <t>Rice</t>
  </si>
  <si>
    <t>Corn</t>
  </si>
  <si>
    <t>Rock Salt Stabilizer</t>
  </si>
  <si>
    <t>Peanuts</t>
  </si>
  <si>
    <t>Wheat</t>
  </si>
  <si>
    <t>Red Coral</t>
  </si>
  <si>
    <t>Crystal Stabilizer</t>
  </si>
  <si>
    <t>Bean</t>
  </si>
  <si>
    <t>Rye</t>
  </si>
  <si>
    <t>Pearl</t>
  </si>
  <si>
    <t>Vanilla</t>
  </si>
  <si>
    <t>Dragon Essence Stabilizer</t>
  </si>
  <si>
    <t>Quinoa</t>
  </si>
  <si>
    <t>Cultivated Ginseng</t>
  </si>
  <si>
    <t>Sparkling Shell Dust</t>
  </si>
  <si>
    <t>Coconut</t>
  </si>
  <si>
    <t>.</t>
  </si>
  <si>
    <t>Deeply Colored Oil Mats</t>
  </si>
  <si>
    <t>Emulsified Oil Mats</t>
  </si>
  <si>
    <t>Viscous Glossy Oil Mats</t>
  </si>
  <si>
    <t>Small Seed Oil Mats</t>
  </si>
  <si>
    <t>n</t>
  </si>
  <si>
    <t>Cap</t>
  </si>
  <si>
    <t>Jerkin</t>
  </si>
  <si>
    <t>Breeches</t>
  </si>
  <si>
    <t>Fists</t>
  </si>
  <si>
    <t>Boots</t>
  </si>
  <si>
    <t>Guards</t>
  </si>
  <si>
    <t>Belt</t>
  </si>
  <si>
    <t>Choose Type &amp; Level:</t>
  </si>
  <si>
    <t>Type &amp; Level</t>
  </si>
  <si>
    <t>!!! How-To-Use-This: Choose the desired craft type &amp; level and double-click "Choose Type &amp; Level" aka B2 !!!</t>
  </si>
  <si>
    <t>Cloth</t>
  </si>
  <si>
    <t>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</si>
</sst>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70C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2">
    <xf numFmtId="0" fontId="0" fillId="0" borderId="0" xfId="0"/>
    <xf numFmtId="0" fontId="0" fillId="10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10" borderId="3" xfId="0" applyFill="1" applyBorder="1"/>
    <xf numFmtId="0" fontId="0" fillId="10" borderId="4" xfId="0" applyFill="1" applyBorder="1" applyAlignment="1">
      <alignment horizontal="center"/>
    </xf>
    <xf numFmtId="0" fontId="0" fillId="10" borderId="6" xfId="0" applyFill="1" applyBorder="1"/>
    <xf numFmtId="0" fontId="0" fillId="9" borderId="8" xfId="0" applyFill="1" applyBorder="1"/>
    <xf numFmtId="0" fontId="0" fillId="9" borderId="6" xfId="0" applyFill="1" applyBorder="1"/>
    <xf numFmtId="0" fontId="0" fillId="8" borderId="8" xfId="0" applyFill="1" applyBorder="1"/>
    <xf numFmtId="0" fontId="0" fillId="8" borderId="6" xfId="0" applyFill="1" applyBorder="1"/>
    <xf numFmtId="0" fontId="0" fillId="8" borderId="7" xfId="0" applyFill="1" applyBorder="1" applyAlignment="1">
      <alignment horizontal="center"/>
    </xf>
    <xf numFmtId="0" fontId="0" fillId="7" borderId="8" xfId="0" applyFill="1" applyBorder="1"/>
    <xf numFmtId="0" fontId="0" fillId="7" borderId="9" xfId="0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 applyAlignment="1">
      <alignment horizontal="center"/>
    </xf>
    <xf numFmtId="0" fontId="0" fillId="6" borderId="8" xfId="0" applyFill="1" applyBorder="1"/>
    <xf numFmtId="0" fontId="0" fillId="6" borderId="9" xfId="0" applyFill="1" applyBorder="1" applyAlignment="1">
      <alignment horizontal="center"/>
    </xf>
    <xf numFmtId="0" fontId="0" fillId="6" borderId="6" xfId="0" applyFill="1" applyBorder="1"/>
    <xf numFmtId="0" fontId="0" fillId="6" borderId="7" xfId="0" applyFill="1" applyBorder="1" applyAlignment="1">
      <alignment horizontal="center"/>
    </xf>
    <xf numFmtId="0" fontId="0" fillId="5" borderId="8" xfId="0" applyFill="1" applyBorder="1"/>
    <xf numFmtId="0" fontId="0" fillId="5" borderId="9" xfId="0" applyFill="1" applyBorder="1" applyAlignment="1">
      <alignment horizontal="center"/>
    </xf>
    <xf numFmtId="0" fontId="0" fillId="5" borderId="6" xfId="0" applyFill="1" applyBorder="1"/>
    <xf numFmtId="0" fontId="0" fillId="5" borderId="7" xfId="0" applyFill="1" applyBorder="1" applyAlignment="1">
      <alignment horizontal="center"/>
    </xf>
    <xf numFmtId="0" fontId="0" fillId="4" borderId="8" xfId="0" applyFill="1" applyBorder="1"/>
    <xf numFmtId="0" fontId="0" fillId="4" borderId="9" xfId="0" applyFill="1" applyBorder="1" applyAlignment="1">
      <alignment horizontal="center"/>
    </xf>
    <xf numFmtId="0" fontId="0" fillId="4" borderId="6" xfId="0" applyFill="1" applyBorder="1"/>
    <xf numFmtId="0" fontId="0" fillId="4" borderId="7" xfId="0" applyFill="1" applyBorder="1" applyAlignment="1">
      <alignment horizontal="center"/>
    </xf>
    <xf numFmtId="0" fontId="0" fillId="2" borderId="8" xfId="0" applyFill="1" applyBorder="1"/>
    <xf numFmtId="0" fontId="0" fillId="2" borderId="9" xfId="0" applyFill="1" applyBorder="1" applyAlignment="1">
      <alignment horizontal="center"/>
    </xf>
    <xf numFmtId="0" fontId="0" fillId="2" borderId="6" xfId="0" applyFill="1" applyBorder="1"/>
    <xf numFmtId="0" fontId="0" fillId="2" borderId="7" xfId="0" applyFill="1" applyBorder="1" applyAlignment="1">
      <alignment horizontal="center"/>
    </xf>
    <xf numFmtId="0" fontId="0" fillId="3" borderId="10" xfId="0" applyFill="1" applyBorder="1"/>
    <xf numFmtId="0" fontId="0" fillId="3" borderId="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/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0" borderId="0" xfId="0" applyFill="1" applyBorder="1"/>
    <xf numFmtId="0" fontId="0" fillId="10" borderId="12" xfId="0" applyFill="1" applyBorder="1"/>
    <xf numFmtId="0" fontId="0" fillId="10" borderId="13" xfId="0" applyFill="1" applyBorder="1" applyAlignment="1">
      <alignment horizontal="center"/>
    </xf>
    <xf numFmtId="0" fontId="0" fillId="9" borderId="12" xfId="0" applyFill="1" applyBorder="1"/>
    <xf numFmtId="0" fontId="0" fillId="9" borderId="13" xfId="0" applyFill="1" applyBorder="1" applyAlignment="1">
      <alignment horizontal="center"/>
    </xf>
    <xf numFmtId="0" fontId="0" fillId="8" borderId="12" xfId="0" applyFill="1" applyBorder="1"/>
    <xf numFmtId="0" fontId="0" fillId="8" borderId="13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7" borderId="12" xfId="0" applyFill="1" applyBorder="1"/>
    <xf numFmtId="0" fontId="0" fillId="7" borderId="13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6" borderId="12" xfId="0" applyFill="1" applyBorder="1"/>
    <xf numFmtId="0" fontId="0" fillId="6" borderId="13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5" borderId="12" xfId="0" applyFill="1" applyBorder="1"/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2" borderId="12" xfId="0" applyFill="1" applyBorder="1"/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4" borderId="12" xfId="0" applyFill="1" applyBorder="1"/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1" xfId="0" applyBorder="1"/>
    <xf numFmtId="0" fontId="0" fillId="0" borderId="5" xfId="0" applyBorder="1"/>
    <xf numFmtId="0" fontId="0" fillId="0" borderId="26" xfId="0" applyFill="1" applyBorder="1" applyAlignment="1">
      <alignment horizontal="center"/>
    </xf>
    <xf numFmtId="0" fontId="0" fillId="0" borderId="0" xfId="0" applyFill="1"/>
    <xf numFmtId="0" fontId="0" fillId="0" borderId="23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9" borderId="0" xfId="0" applyFill="1" applyBorder="1"/>
    <xf numFmtId="0" fontId="0" fillId="10" borderId="0" xfId="0" applyFill="1" applyBorder="1"/>
    <xf numFmtId="0" fontId="0" fillId="8" borderId="0" xfId="0" applyFill="1" applyBorder="1"/>
    <xf numFmtId="0" fontId="0" fillId="7" borderId="0" xfId="0" applyFill="1" applyBorder="1"/>
    <xf numFmtId="0" fontId="0" fillId="6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" borderId="0" xfId="0" applyFill="1" applyBorder="1"/>
    <xf numFmtId="0" fontId="0" fillId="3" borderId="0" xfId="0" applyFill="1" applyBorder="1"/>
    <xf numFmtId="0" fontId="0" fillId="13" borderId="36" xfId="0" applyFill="1" applyBorder="1" applyAlignment="1">
      <alignment horizontal="center"/>
    </xf>
    <xf numFmtId="0" fontId="0" fillId="12" borderId="37" xfId="0" applyFill="1" applyBorder="1" applyAlignment="1">
      <alignment horizontal="center"/>
    </xf>
    <xf numFmtId="0" fontId="0" fillId="12" borderId="38" xfId="0" applyFill="1" applyBorder="1" applyAlignment="1">
      <alignment horizontal="center"/>
    </xf>
    <xf numFmtId="0" fontId="0" fillId="0" borderId="33" xfId="0" applyNumberFormat="1" applyFill="1" applyBorder="1" applyAlignment="1">
      <alignment horizontal="center"/>
    </xf>
    <xf numFmtId="0" fontId="0" fillId="0" borderId="0" xfId="0" applyAlignment="1"/>
    <xf numFmtId="0" fontId="0" fillId="0" borderId="10" xfId="0" applyBorder="1" applyAlignment="1"/>
    <xf numFmtId="0" fontId="0" fillId="0" borderId="0" xfId="0" applyBorder="1" applyAlignment="1"/>
    <xf numFmtId="0" fontId="0" fillId="0" borderId="26" xfId="0" applyNumberForma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1" fillId="10" borderId="4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2" fillId="9" borderId="0" xfId="0" applyFon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10" borderId="3" xfId="0" applyFill="1" applyBorder="1" applyAlignment="1">
      <alignment horizontal="left" vertical="top"/>
    </xf>
    <xf numFmtId="0" fontId="0" fillId="10" borderId="4" xfId="0" applyFill="1" applyBorder="1" applyAlignment="1">
      <alignment horizontal="left" vertical="top"/>
    </xf>
    <xf numFmtId="0" fontId="0" fillId="10" borderId="12" xfId="0" applyFill="1" applyBorder="1" applyAlignment="1">
      <alignment horizontal="left" vertical="top"/>
    </xf>
    <xf numFmtId="0" fontId="0" fillId="10" borderId="13" xfId="0" applyFill="1" applyBorder="1" applyAlignment="1">
      <alignment horizontal="left" vertical="top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6" xfId="0" applyFill="1" applyBorder="1" applyAlignment="1">
      <alignment horizontal="left" vertical="top"/>
    </xf>
    <xf numFmtId="0" fontId="0" fillId="10" borderId="1" xfId="0" applyFill="1" applyBorder="1" applyAlignment="1">
      <alignment horizontal="left" vertical="top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Q38"/>
  <sheetViews>
    <sheetView showZeros="0" tabSelected="1" zoomScaleNormal="100" workbookViewId="0">
      <selection activeCell="B2" sqref="B2"/>
    </sheetView>
  </sheetViews>
  <sheetFormatPr baseColWidth="10" defaultRowHeight="15" x14ac:dyDescent="0.25"/>
  <cols>
    <col min="1" max="1" width="1" style="16" customWidth="1"/>
    <col min="2" max="2" width="20.85546875" customWidth="1"/>
    <col min="3" max="3" width="18.5703125" bestFit="1" customWidth="1"/>
    <col min="4" max="4" width="21.85546875" bestFit="1" customWidth="1"/>
    <col min="5" max="5" width="18.28515625" bestFit="1" customWidth="1"/>
    <col min="6" max="6" width="28.28515625" bestFit="1" customWidth="1"/>
    <col min="7" max="7" width="2.28515625" customWidth="1"/>
    <col min="8" max="8" width="19.140625" customWidth="1"/>
    <col min="9" max="9" width="8.85546875" bestFit="1" customWidth="1"/>
    <col min="10" max="10" width="26.42578125" bestFit="1" customWidth="1"/>
    <col min="11" max="11" width="18.140625" bestFit="1" customWidth="1"/>
    <col min="12" max="12" width="16.85546875" bestFit="1" customWidth="1"/>
    <col min="13" max="13" width="17.85546875" bestFit="1" customWidth="1"/>
    <col min="14" max="14" width="13.85546875" bestFit="1" customWidth="1"/>
  </cols>
  <sheetData>
    <row r="1" spans="2:17" s="127" customFormat="1" ht="5.25" customHeight="1" thickBot="1" x14ac:dyDescent="0.3">
      <c r="H1"/>
      <c r="I1"/>
      <c r="J1"/>
      <c r="K1"/>
      <c r="L1"/>
      <c r="M1"/>
      <c r="N1"/>
    </row>
    <row r="2" spans="2:17" ht="15.75" thickBot="1" x14ac:dyDescent="0.3">
      <c r="B2" s="123" t="s">
        <v>59</v>
      </c>
      <c r="C2" s="124" t="s">
        <v>1</v>
      </c>
      <c r="D2" s="124" t="s">
        <v>55</v>
      </c>
      <c r="E2" s="125" t="s">
        <v>16</v>
      </c>
      <c r="F2" s="128"/>
      <c r="G2" s="129"/>
      <c r="O2" s="129"/>
      <c r="P2" s="129"/>
      <c r="Q2" s="129"/>
    </row>
    <row r="3" spans="2:17" s="127" customFormat="1" ht="5.25" customHeight="1" x14ac:dyDescent="0.25">
      <c r="H3"/>
      <c r="I3"/>
      <c r="J3"/>
      <c r="K3"/>
      <c r="L3"/>
      <c r="M3"/>
      <c r="N3"/>
    </row>
    <row r="4" spans="2:17" ht="15.75" customHeight="1" thickBot="1" x14ac:dyDescent="0.3"/>
    <row r="5" spans="2:17" ht="15.75" thickBot="1" x14ac:dyDescent="0.3">
      <c r="E5" s="100" t="s">
        <v>27</v>
      </c>
      <c r="F5" s="108" t="s">
        <v>26</v>
      </c>
    </row>
    <row r="6" spans="2:17" ht="15.75" thickBot="1" x14ac:dyDescent="0.3">
      <c r="E6" s="92">
        <f>SUM(E8)*3</f>
        <v>255</v>
      </c>
      <c r="F6" s="93">
        <f>SUM(F8,(F10*5),(F12*25),(F14*125))</f>
        <v>155</v>
      </c>
      <c r="H6" s="18" t="s">
        <v>11</v>
      </c>
      <c r="I6" s="19"/>
      <c r="J6" s="19" t="s">
        <v>0</v>
      </c>
      <c r="K6" s="19" t="s">
        <v>1</v>
      </c>
      <c r="L6" s="19" t="s">
        <v>2</v>
      </c>
      <c r="M6" s="133" t="s">
        <v>46</v>
      </c>
      <c r="N6" s="134"/>
    </row>
    <row r="7" spans="2:17" x14ac:dyDescent="0.25">
      <c r="B7" s="100" t="s">
        <v>9</v>
      </c>
      <c r="C7" s="101" t="str">
        <f>(L6)</f>
        <v>Blue Salt Wedge</v>
      </c>
      <c r="D7" s="102" t="str">
        <f>(M10)</f>
        <v>Small Seed Oil</v>
      </c>
      <c r="E7" s="102" t="str">
        <f>(K6)</f>
        <v>Leather</v>
      </c>
      <c r="F7" s="126" t="str">
        <f>(J6)</f>
        <v>Moonlight Archeum Dust</v>
      </c>
      <c r="H7" s="20"/>
      <c r="I7" s="131"/>
      <c r="J7" s="131">
        <v>2</v>
      </c>
      <c r="K7" s="131">
        <v>3</v>
      </c>
      <c r="L7" s="131">
        <v>3</v>
      </c>
      <c r="M7" s="135"/>
      <c r="N7" s="136"/>
    </row>
    <row r="8" spans="2:17" x14ac:dyDescent="0.25">
      <c r="B8" s="86">
        <f>SUM(B10)/4</f>
        <v>0.5</v>
      </c>
      <c r="C8" s="87">
        <f>SUM(L7,L9,L11)</f>
        <v>15</v>
      </c>
      <c r="D8" s="98">
        <f>SUM(M11,M13)+(E10)+(E12*10)</f>
        <v>6</v>
      </c>
      <c r="E8" s="98">
        <f>SUM(K7,K9,K11,K13,K15)+(E10*10)+(E12*100)</f>
        <v>85</v>
      </c>
      <c r="F8" s="99">
        <f>SUM(J7,J9)</f>
        <v>5</v>
      </c>
      <c r="H8" s="21" t="s">
        <v>12</v>
      </c>
      <c r="I8" s="2" t="s">
        <v>3</v>
      </c>
      <c r="J8" s="2" t="s">
        <v>0</v>
      </c>
      <c r="K8" s="2" t="s">
        <v>1</v>
      </c>
      <c r="L8" s="2" t="s">
        <v>2</v>
      </c>
      <c r="M8" s="137" t="s">
        <v>46</v>
      </c>
      <c r="N8" s="138"/>
    </row>
    <row r="9" spans="2:17" x14ac:dyDescent="0.25">
      <c r="B9" s="89" t="str">
        <f>(N16)</f>
        <v>Gilda Star Dust</v>
      </c>
      <c r="C9" s="90" t="str">
        <f>(L12)</f>
        <v>Blue Salt Gloves</v>
      </c>
      <c r="D9" s="130" t="str">
        <f>(M14)</f>
        <v>Viscous Glossy Oil</v>
      </c>
      <c r="E9" s="96" t="str">
        <f>(K16)</f>
        <v>Fine Leather</v>
      </c>
      <c r="F9" s="103" t="str">
        <f>(J10)</f>
        <v>Moonlight Archeum Shard</v>
      </c>
      <c r="H9" s="22"/>
      <c r="I9" s="132">
        <v>1</v>
      </c>
      <c r="J9" s="132">
        <v>3</v>
      </c>
      <c r="K9" s="132">
        <v>6</v>
      </c>
      <c r="L9" s="132">
        <v>5</v>
      </c>
      <c r="M9" s="139"/>
      <c r="N9" s="140"/>
    </row>
    <row r="10" spans="2:17" ht="15.75" thickBot="1" x14ac:dyDescent="0.3">
      <c r="B10" s="83">
        <f>SUM(N17,N19,N21,N23)</f>
        <v>2</v>
      </c>
      <c r="C10" s="87">
        <f>SUM(L13,L15,L17,L19)</f>
        <v>12</v>
      </c>
      <c r="D10" s="98">
        <f>SUM(M15,M17)+(E12)</f>
        <v>2</v>
      </c>
      <c r="E10" s="98">
        <f>SUM(K17,K19,K21)</f>
        <v>4</v>
      </c>
      <c r="F10" s="99">
        <f>SUM(J11,J13)</f>
        <v>5</v>
      </c>
      <c r="H10" s="23" t="s">
        <v>13</v>
      </c>
      <c r="I10" s="4" t="s">
        <v>3</v>
      </c>
      <c r="J10" s="4" t="s">
        <v>4</v>
      </c>
      <c r="K10" s="4" t="s">
        <v>1</v>
      </c>
      <c r="L10" s="4" t="s">
        <v>2</v>
      </c>
      <c r="M10" s="75" t="s">
        <v>5</v>
      </c>
      <c r="N10" s="76"/>
    </row>
    <row r="11" spans="2:17" x14ac:dyDescent="0.25">
      <c r="B11" s="79"/>
      <c r="C11" s="89">
        <f>(L20)</f>
        <v>0</v>
      </c>
      <c r="D11" s="96">
        <f>(M18)</f>
        <v>0</v>
      </c>
      <c r="E11" s="96">
        <f>(K22)</f>
        <v>0</v>
      </c>
      <c r="F11" s="103" t="str">
        <f>(J14)</f>
        <v>Moonlight Archeum Crystal</v>
      </c>
      <c r="H11" s="24"/>
      <c r="I11" s="5">
        <v>1</v>
      </c>
      <c r="J11" s="5">
        <v>2</v>
      </c>
      <c r="K11" s="5">
        <v>9</v>
      </c>
      <c r="L11" s="5">
        <v>7</v>
      </c>
      <c r="M11" s="5">
        <v>1</v>
      </c>
      <c r="N11" s="25"/>
    </row>
    <row r="12" spans="2:17" ht="15.75" thickBot="1" x14ac:dyDescent="0.3">
      <c r="B12" s="78"/>
      <c r="C12" s="83">
        <f>SUM(L21,L23)</f>
        <v>0</v>
      </c>
      <c r="D12" s="98">
        <f>SUM(M19,M21)</f>
        <v>0</v>
      </c>
      <c r="E12" s="104">
        <f>SUM(K23)</f>
        <v>0</v>
      </c>
      <c r="F12" s="99">
        <f>SUM(J15,J17)</f>
        <v>5</v>
      </c>
      <c r="H12" s="26" t="s">
        <v>14</v>
      </c>
      <c r="I12" s="6" t="s">
        <v>3</v>
      </c>
      <c r="J12" s="6" t="s">
        <v>4</v>
      </c>
      <c r="K12" s="6" t="s">
        <v>1</v>
      </c>
      <c r="L12" s="6" t="s">
        <v>6</v>
      </c>
      <c r="M12" s="6" t="s">
        <v>5</v>
      </c>
      <c r="N12" s="27"/>
    </row>
    <row r="13" spans="2:17" x14ac:dyDescent="0.25">
      <c r="B13" s="77"/>
      <c r="C13" s="95"/>
      <c r="D13" s="105">
        <f>(M22)</f>
        <v>0</v>
      </c>
      <c r="E13" s="97"/>
      <c r="F13" s="105">
        <f>(J18)</f>
        <v>0</v>
      </c>
      <c r="H13" s="28"/>
      <c r="I13" s="7">
        <v>1</v>
      </c>
      <c r="J13" s="7">
        <v>3</v>
      </c>
      <c r="K13" s="7">
        <v>12</v>
      </c>
      <c r="L13" s="7">
        <v>2</v>
      </c>
      <c r="M13" s="7">
        <v>1</v>
      </c>
      <c r="N13" s="29"/>
    </row>
    <row r="14" spans="2:17" ht="15.75" thickBot="1" x14ac:dyDescent="0.3">
      <c r="B14" s="77"/>
      <c r="C14" s="94"/>
      <c r="D14" s="106">
        <f>SUM(M23)</f>
        <v>0</v>
      </c>
      <c r="E14" s="97"/>
      <c r="F14" s="107">
        <f>SUM(J19,J21,J23)</f>
        <v>0</v>
      </c>
      <c r="H14" s="30" t="s">
        <v>15</v>
      </c>
      <c r="I14" s="8" t="s">
        <v>3</v>
      </c>
      <c r="J14" s="8" t="s">
        <v>7</v>
      </c>
      <c r="K14" s="8" t="s">
        <v>1</v>
      </c>
      <c r="L14" s="8" t="s">
        <v>6</v>
      </c>
      <c r="M14" s="8" t="s">
        <v>8</v>
      </c>
      <c r="N14" s="31"/>
    </row>
    <row r="15" spans="2:17" x14ac:dyDescent="0.25">
      <c r="D15" s="97"/>
      <c r="E15" s="97"/>
      <c r="F15" s="105" t="s">
        <v>28</v>
      </c>
      <c r="H15" s="32"/>
      <c r="I15" s="9">
        <v>1</v>
      </c>
      <c r="J15" s="9">
        <v>2</v>
      </c>
      <c r="K15" s="9">
        <v>15</v>
      </c>
      <c r="L15" s="9">
        <v>4</v>
      </c>
      <c r="M15" s="9">
        <v>1</v>
      </c>
      <c r="N15" s="33"/>
    </row>
    <row r="16" spans="2:17" ht="15.75" thickBot="1" x14ac:dyDescent="0.3">
      <c r="D16" s="97"/>
      <c r="E16" s="97"/>
      <c r="F16" s="106">
        <f>SUM(E12)*5</f>
        <v>0</v>
      </c>
      <c r="H16" s="34" t="s">
        <v>16</v>
      </c>
      <c r="I16" s="10" t="s">
        <v>3</v>
      </c>
      <c r="J16" s="10" t="s">
        <v>7</v>
      </c>
      <c r="K16" s="10" t="s">
        <v>10</v>
      </c>
      <c r="L16" s="10" t="s">
        <v>6</v>
      </c>
      <c r="M16" s="10" t="s">
        <v>8</v>
      </c>
      <c r="N16" s="35" t="s">
        <v>25</v>
      </c>
    </row>
    <row r="17" spans="2:14" ht="15.75" thickBot="1" x14ac:dyDescent="0.3">
      <c r="H17" s="66"/>
      <c r="I17" s="67">
        <v>1</v>
      </c>
      <c r="J17" s="67">
        <v>3</v>
      </c>
      <c r="K17" s="67">
        <v>4</v>
      </c>
      <c r="L17" s="67">
        <v>6</v>
      </c>
      <c r="M17" s="67">
        <v>1</v>
      </c>
      <c r="N17" s="68">
        <v>2</v>
      </c>
    </row>
    <row r="18" spans="2:14" ht="15.75" thickBot="1" x14ac:dyDescent="0.3"/>
    <row r="19" spans="2:14" ht="15.75" thickBot="1" x14ac:dyDescent="0.3">
      <c r="C19" s="80" t="s">
        <v>50</v>
      </c>
      <c r="D19" s="81" t="s">
        <v>49</v>
      </c>
      <c r="E19" s="81" t="s">
        <v>48</v>
      </c>
      <c r="F19" s="82" t="s">
        <v>47</v>
      </c>
    </row>
    <row r="20" spans="2:14" ht="15.75" thickTop="1" x14ac:dyDescent="0.25">
      <c r="C20" s="83" t="s">
        <v>29</v>
      </c>
      <c r="D20" s="84" t="s">
        <v>32</v>
      </c>
      <c r="E20" s="84" t="s">
        <v>36</v>
      </c>
      <c r="F20" s="85" t="s">
        <v>41</v>
      </c>
    </row>
    <row r="21" spans="2:14" x14ac:dyDescent="0.25">
      <c r="B21" s="16"/>
      <c r="C21" s="86">
        <f>SUM(D8)*3</f>
        <v>18</v>
      </c>
      <c r="D21" s="87">
        <f>SUM(D10)*3</f>
        <v>6</v>
      </c>
      <c r="E21" s="87">
        <f>SUM(D12)*3</f>
        <v>0</v>
      </c>
      <c r="F21" s="88">
        <f>SUM(D14)*3</f>
        <v>0</v>
      </c>
    </row>
    <row r="22" spans="2:14" x14ac:dyDescent="0.25">
      <c r="B22" s="16"/>
      <c r="C22" s="89" t="s">
        <v>30</v>
      </c>
      <c r="D22" s="90" t="s">
        <v>33</v>
      </c>
      <c r="E22" s="90" t="s">
        <v>37</v>
      </c>
      <c r="F22" s="91" t="s">
        <v>42</v>
      </c>
    </row>
    <row r="23" spans="2:14" x14ac:dyDescent="0.25">
      <c r="B23" s="16"/>
      <c r="C23" s="86">
        <f>SUM(D8)*20</f>
        <v>120</v>
      </c>
      <c r="D23" s="87">
        <f>SUM(D10)*30</f>
        <v>60</v>
      </c>
      <c r="E23" s="87">
        <f>SUM(D12)*40</f>
        <v>0</v>
      </c>
      <c r="F23" s="88">
        <f>SUM(D14)*50</f>
        <v>0</v>
      </c>
    </row>
    <row r="24" spans="2:14" x14ac:dyDescent="0.25">
      <c r="B24" s="16"/>
      <c r="C24" s="83" t="s">
        <v>31</v>
      </c>
      <c r="D24" s="90" t="s">
        <v>34</v>
      </c>
      <c r="E24" s="90" t="s">
        <v>38</v>
      </c>
      <c r="F24" s="91" t="s">
        <v>43</v>
      </c>
    </row>
    <row r="25" spans="2:14" ht="15.75" thickBot="1" x14ac:dyDescent="0.3">
      <c r="B25" s="16"/>
      <c r="C25" s="83">
        <f>SUM(D8)*20</f>
        <v>120</v>
      </c>
      <c r="D25" s="87">
        <f>SUM(D10)*30</f>
        <v>60</v>
      </c>
      <c r="E25" s="87">
        <f>SUM(D12)*40</f>
        <v>0</v>
      </c>
      <c r="F25" s="88">
        <f>SUM(D14)*50</f>
        <v>0</v>
      </c>
    </row>
    <row r="26" spans="2:14" x14ac:dyDescent="0.25">
      <c r="B26" s="16"/>
      <c r="C26" s="79"/>
      <c r="D26" s="89" t="s">
        <v>35</v>
      </c>
      <c r="E26" s="90" t="s">
        <v>39</v>
      </c>
      <c r="F26" s="91" t="s">
        <v>44</v>
      </c>
    </row>
    <row r="27" spans="2:14" ht="15.75" thickBot="1" x14ac:dyDescent="0.3">
      <c r="B27" s="16"/>
      <c r="C27" s="78"/>
      <c r="D27" s="83">
        <f>SUM(D10)*20</f>
        <v>40</v>
      </c>
      <c r="E27" s="87">
        <f>SUM(D12)*20</f>
        <v>0</v>
      </c>
      <c r="F27" s="88">
        <f>SUM(D14)*10</f>
        <v>0</v>
      </c>
    </row>
    <row r="28" spans="2:14" x14ac:dyDescent="0.25">
      <c r="C28" s="77"/>
      <c r="D28" s="79"/>
      <c r="E28" s="89" t="s">
        <v>40</v>
      </c>
      <c r="F28" s="91" t="s">
        <v>45</v>
      </c>
    </row>
    <row r="29" spans="2:14" ht="15.75" thickBot="1" x14ac:dyDescent="0.3">
      <c r="B29" s="16"/>
      <c r="C29" s="77"/>
      <c r="D29" s="78"/>
      <c r="E29" s="92">
        <f>SUM(D12)*2</f>
        <v>0</v>
      </c>
      <c r="F29" s="93">
        <f>SUM(D14)*10</f>
        <v>0</v>
      </c>
    </row>
    <row r="30" spans="2:14" x14ac:dyDescent="0.25">
      <c r="B30" s="16"/>
    </row>
    <row r="31" spans="2:14" x14ac:dyDescent="0.25">
      <c r="B31" s="16"/>
    </row>
    <row r="32" spans="2:14" x14ac:dyDescent="0.25">
      <c r="B32" s="141" t="s">
        <v>61</v>
      </c>
      <c r="C32" s="141"/>
      <c r="D32" s="141"/>
      <c r="E32" s="141"/>
      <c r="F32" s="141"/>
    </row>
    <row r="33" spans="2:2" x14ac:dyDescent="0.25">
      <c r="B33" s="16"/>
    </row>
    <row r="34" spans="2:2" x14ac:dyDescent="0.25">
      <c r="B34" s="16"/>
    </row>
    <row r="35" spans="2:2" x14ac:dyDescent="0.25">
      <c r="B35" s="16"/>
    </row>
    <row r="36" spans="2:2" x14ac:dyDescent="0.25">
      <c r="B36" s="16"/>
    </row>
    <row r="37" spans="2:2" x14ac:dyDescent="0.25">
      <c r="B37" s="16"/>
    </row>
    <row r="38" spans="2:2" x14ac:dyDescent="0.25">
      <c r="B38" s="16"/>
    </row>
  </sheetData>
  <customSheetViews>
    <customSheetView guid="{4ADA534B-DCF1-41A0-903F-BF3907DC4701}">
      <selection activeCell="B2" sqref="B2"/>
    </customSheetView>
    <customSheetView guid="{C0648E25-1909-4A90-B488-27428350B38C}">
      <selection sqref="A1:G2"/>
    </customSheetView>
  </customSheetViews>
  <mergeCells count="3">
    <mergeCell ref="M6:N7"/>
    <mergeCell ref="M8:N9"/>
    <mergeCell ref="B32:F32"/>
  </mergeCells>
  <dataValidations count="4">
    <dataValidation type="list" allowBlank="1" showInputMessage="1" showErrorMessage="1" sqref="E2">
      <formula1>Level</formula1>
    </dataValidation>
    <dataValidation type="list" allowBlank="1" showInputMessage="1" showErrorMessage="1" sqref="D2">
      <formula1>Type</formula1>
    </dataValidation>
    <dataValidation type="list" allowBlank="1" showInputMessage="1" showErrorMessage="1" sqref="C2">
      <formula1>Kind</formula1>
    </dataValidation>
    <dataValidation type="list" allowBlank="1" showDropDown="1" showInputMessage="1" showErrorMessage="1" sqref="D9">
      <formula1>M14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S50"/>
  <sheetViews>
    <sheetView workbookViewId="0">
      <selection activeCell="E1" sqref="E1:E3"/>
    </sheetView>
  </sheetViews>
  <sheetFormatPr baseColWidth="10" defaultColWidth="13.85546875" defaultRowHeight="15" customHeight="1" x14ac:dyDescent="0.25"/>
  <cols>
    <col min="1" max="1" width="11.5703125" bestFit="1" customWidth="1"/>
    <col min="2" max="2" width="2.85546875" customWidth="1"/>
    <col min="3" max="3" width="9.140625" bestFit="1" customWidth="1"/>
    <col min="4" max="4" width="2.85546875" customWidth="1"/>
    <col min="5" max="5" width="13.85546875" customWidth="1"/>
    <col min="6" max="6" width="2.85546875" customWidth="1"/>
  </cols>
  <sheetData>
    <row r="1" spans="1:19" ht="15" customHeight="1" x14ac:dyDescent="0.25">
      <c r="A1" s="115" t="s">
        <v>11</v>
      </c>
      <c r="B1" s="52"/>
      <c r="C1" s="52" t="s">
        <v>52</v>
      </c>
      <c r="E1" s="52" t="s">
        <v>62</v>
      </c>
      <c r="F1" s="17"/>
      <c r="G1" s="17"/>
      <c r="H1" s="17"/>
      <c r="I1" s="17"/>
      <c r="J1" s="17"/>
      <c r="K1" s="17"/>
      <c r="L1" s="52"/>
      <c r="M1" s="52"/>
      <c r="N1" s="17"/>
      <c r="O1" s="17"/>
      <c r="P1" s="17"/>
      <c r="Q1" s="17"/>
      <c r="R1" s="17"/>
      <c r="S1" s="17"/>
    </row>
    <row r="2" spans="1:19" ht="15" customHeight="1" x14ac:dyDescent="0.25">
      <c r="A2" s="114" t="s">
        <v>12</v>
      </c>
      <c r="B2" s="52"/>
      <c r="C2" s="52" t="s">
        <v>53</v>
      </c>
      <c r="E2" s="52" t="s">
        <v>1</v>
      </c>
      <c r="F2" s="17"/>
      <c r="G2" s="17"/>
      <c r="H2" s="17"/>
      <c r="I2" s="17"/>
      <c r="J2" s="17"/>
      <c r="K2" s="17"/>
      <c r="L2" s="52"/>
      <c r="M2" s="52"/>
      <c r="N2" s="17"/>
      <c r="O2" s="17"/>
      <c r="P2" s="17"/>
      <c r="Q2" s="17"/>
      <c r="R2" s="17"/>
      <c r="S2" s="17"/>
    </row>
    <row r="3" spans="1:19" ht="15" customHeight="1" x14ac:dyDescent="0.25">
      <c r="A3" s="116" t="s">
        <v>13</v>
      </c>
      <c r="B3" s="52"/>
      <c r="C3" s="52" t="s">
        <v>54</v>
      </c>
      <c r="E3" s="52" t="s">
        <v>63</v>
      </c>
      <c r="F3" s="17"/>
      <c r="G3" s="17"/>
      <c r="H3" s="17"/>
      <c r="I3" s="17"/>
      <c r="J3" s="17"/>
      <c r="K3" s="17"/>
      <c r="L3" s="52"/>
      <c r="M3" s="52"/>
      <c r="N3" s="17"/>
      <c r="O3" s="17"/>
      <c r="P3" s="17"/>
      <c r="Q3" s="17"/>
      <c r="R3" s="17"/>
      <c r="S3" s="17"/>
    </row>
    <row r="4" spans="1:19" ht="15" customHeight="1" x14ac:dyDescent="0.25">
      <c r="A4" s="117" t="s">
        <v>14</v>
      </c>
      <c r="B4" s="52"/>
      <c r="C4" s="52" t="s">
        <v>55</v>
      </c>
      <c r="E4" s="52"/>
      <c r="F4" s="17"/>
      <c r="G4" s="17"/>
      <c r="H4" s="17"/>
      <c r="I4" s="17"/>
      <c r="J4" s="17"/>
      <c r="K4" s="17"/>
      <c r="L4" s="52"/>
      <c r="M4" s="52"/>
      <c r="N4" s="17"/>
      <c r="O4" s="17"/>
      <c r="P4" s="17"/>
      <c r="Q4" s="17"/>
      <c r="R4" s="17"/>
      <c r="S4" s="17"/>
    </row>
    <row r="5" spans="1:19" ht="15" customHeight="1" x14ac:dyDescent="0.25">
      <c r="A5" s="118" t="s">
        <v>15</v>
      </c>
      <c r="B5" s="52"/>
      <c r="C5" s="52" t="s">
        <v>56</v>
      </c>
      <c r="E5" s="52"/>
      <c r="F5" s="17"/>
      <c r="G5" s="17"/>
      <c r="H5" s="17"/>
      <c r="I5" s="17"/>
      <c r="J5" s="17"/>
      <c r="K5" s="17"/>
      <c r="L5" s="52"/>
      <c r="M5" s="52"/>
      <c r="N5" s="17"/>
      <c r="O5" s="17"/>
      <c r="P5" s="17"/>
      <c r="Q5" s="17"/>
      <c r="R5" s="17"/>
      <c r="S5" s="17"/>
    </row>
    <row r="6" spans="1:19" ht="15" customHeight="1" x14ac:dyDescent="0.25">
      <c r="A6" s="120" t="s">
        <v>16</v>
      </c>
      <c r="B6" s="52"/>
      <c r="C6" s="52" t="s">
        <v>57</v>
      </c>
      <c r="E6" s="52"/>
      <c r="F6" s="17"/>
      <c r="G6" s="17"/>
      <c r="H6" s="17"/>
      <c r="I6" s="17"/>
      <c r="J6" s="17"/>
      <c r="K6" s="17"/>
      <c r="L6" s="52"/>
      <c r="M6" s="52"/>
      <c r="N6" s="17"/>
      <c r="O6" s="17"/>
      <c r="P6" s="17"/>
      <c r="Q6" s="17"/>
      <c r="R6" s="17"/>
      <c r="S6" s="17"/>
    </row>
    <row r="7" spans="1:19" ht="15" customHeight="1" x14ac:dyDescent="0.25">
      <c r="A7" s="119" t="s">
        <v>17</v>
      </c>
      <c r="B7" s="52"/>
      <c r="C7" s="52" t="s">
        <v>58</v>
      </c>
      <c r="E7" s="52"/>
      <c r="F7" s="17"/>
      <c r="G7" s="17"/>
      <c r="H7" s="17"/>
      <c r="I7" s="17"/>
      <c r="J7" s="17"/>
      <c r="K7" s="17"/>
      <c r="L7" s="52"/>
      <c r="M7" s="52"/>
      <c r="N7" s="17"/>
      <c r="O7" s="17"/>
      <c r="P7" s="17"/>
      <c r="Q7" s="17"/>
      <c r="R7" s="17"/>
      <c r="S7" s="17"/>
    </row>
    <row r="8" spans="1:19" ht="15" customHeight="1" x14ac:dyDescent="0.25">
      <c r="A8" s="121" t="s">
        <v>20</v>
      </c>
      <c r="B8" s="52"/>
      <c r="C8" s="52"/>
      <c r="E8" s="52"/>
      <c r="F8" s="17"/>
      <c r="G8" s="17"/>
      <c r="H8" s="17"/>
      <c r="I8" s="17"/>
      <c r="J8" s="17"/>
      <c r="K8" s="17"/>
      <c r="L8" s="52"/>
      <c r="M8" s="52"/>
      <c r="N8" s="17"/>
      <c r="O8" s="17"/>
      <c r="P8" s="17"/>
      <c r="Q8" s="17"/>
      <c r="R8" s="17"/>
      <c r="S8" s="17"/>
    </row>
    <row r="9" spans="1:19" ht="15" customHeight="1" x14ac:dyDescent="0.25">
      <c r="A9" s="122" t="s">
        <v>22</v>
      </c>
      <c r="B9" s="52"/>
      <c r="C9" s="52"/>
      <c r="E9" s="52"/>
      <c r="F9" s="17"/>
      <c r="G9" s="17"/>
      <c r="H9" s="17"/>
      <c r="I9" s="17"/>
      <c r="J9" s="17"/>
      <c r="K9" s="17"/>
      <c r="L9" s="52"/>
      <c r="M9" s="52"/>
      <c r="N9" s="17"/>
      <c r="O9" s="17"/>
      <c r="P9" s="17"/>
      <c r="Q9" s="17"/>
      <c r="R9" s="17"/>
      <c r="S9" s="17"/>
    </row>
    <row r="10" spans="1:19" ht="15" customHeight="1" x14ac:dyDescent="0.25">
      <c r="E10" s="52"/>
      <c r="F10" s="17"/>
      <c r="G10" s="17"/>
      <c r="H10" s="17"/>
      <c r="I10" s="17"/>
      <c r="J10" s="17"/>
      <c r="K10" s="17"/>
      <c r="L10" s="52"/>
      <c r="M10" s="52"/>
      <c r="N10" s="17"/>
      <c r="O10" s="17"/>
      <c r="P10" s="17"/>
      <c r="Q10" s="17"/>
      <c r="R10" s="17"/>
      <c r="S10" s="17"/>
    </row>
    <row r="11" spans="1:19" ht="15" customHeight="1" x14ac:dyDescent="0.25">
      <c r="E11" s="52"/>
      <c r="F11" s="17"/>
      <c r="G11" s="17"/>
      <c r="H11" s="17"/>
      <c r="I11" s="17"/>
      <c r="J11" s="17"/>
      <c r="K11" s="17"/>
      <c r="L11" s="52"/>
      <c r="M11" s="52"/>
      <c r="N11" s="17"/>
      <c r="O11" s="17"/>
      <c r="P11" s="17"/>
      <c r="Q11" s="17"/>
      <c r="R11" s="17"/>
      <c r="S11" s="17"/>
    </row>
    <row r="12" spans="1:19" ht="15" customHeight="1" x14ac:dyDescent="0.25">
      <c r="E12" s="52"/>
      <c r="F12" s="17"/>
      <c r="G12" s="17"/>
      <c r="H12" s="17"/>
      <c r="I12" s="17"/>
      <c r="J12" s="17"/>
      <c r="K12" s="17"/>
      <c r="L12" s="52"/>
      <c r="M12" s="52"/>
      <c r="N12" s="17"/>
      <c r="O12" s="17"/>
      <c r="P12" s="17"/>
      <c r="Q12" s="17"/>
      <c r="R12" s="17"/>
      <c r="S12" s="17"/>
    </row>
    <row r="13" spans="1:19" ht="15" customHeight="1" x14ac:dyDescent="0.25">
      <c r="E13" s="52"/>
      <c r="F13" s="17"/>
      <c r="G13" s="17"/>
      <c r="H13" s="17"/>
      <c r="I13" s="17"/>
      <c r="J13" s="17"/>
      <c r="K13" s="17"/>
      <c r="L13" s="52"/>
      <c r="M13" s="52"/>
      <c r="N13" s="17"/>
      <c r="O13" s="17"/>
      <c r="P13" s="17"/>
      <c r="Q13" s="17"/>
      <c r="R13" s="17"/>
      <c r="S13" s="17"/>
    </row>
    <row r="14" spans="1:19" ht="15" customHeight="1" x14ac:dyDescent="0.25">
      <c r="E14" s="52"/>
      <c r="F14" s="17"/>
      <c r="G14" s="17"/>
      <c r="H14" s="17"/>
      <c r="I14" s="17"/>
      <c r="J14" s="17"/>
      <c r="K14" s="17"/>
      <c r="L14" s="52"/>
      <c r="M14" s="52"/>
      <c r="N14" s="17"/>
      <c r="O14" s="17"/>
      <c r="P14" s="17"/>
      <c r="Q14" s="17"/>
      <c r="R14" s="17"/>
      <c r="S14" s="17"/>
    </row>
    <row r="15" spans="1:19" ht="15" customHeight="1" x14ac:dyDescent="0.25">
      <c r="E15" s="52"/>
      <c r="F15" s="17"/>
      <c r="G15" s="17"/>
      <c r="H15" s="17"/>
      <c r="I15" s="17"/>
      <c r="J15" s="17"/>
      <c r="K15" s="17"/>
      <c r="L15" s="52"/>
      <c r="M15" s="52"/>
      <c r="N15" s="52"/>
      <c r="O15" s="52"/>
      <c r="P15" s="52"/>
      <c r="Q15" s="52"/>
      <c r="R15" s="52"/>
      <c r="S15" s="52"/>
    </row>
    <row r="16" spans="1:19" ht="15" customHeight="1" x14ac:dyDescent="0.25">
      <c r="E16" s="52"/>
      <c r="F16" s="17"/>
      <c r="G16" s="17"/>
      <c r="H16" s="17"/>
      <c r="I16" s="17"/>
      <c r="J16" s="17"/>
      <c r="K16" s="17"/>
      <c r="L16" s="52"/>
      <c r="M16" s="52"/>
      <c r="N16" s="17"/>
      <c r="O16" s="17"/>
      <c r="P16" s="17"/>
      <c r="Q16" s="17"/>
      <c r="R16" s="17"/>
      <c r="S16" s="17"/>
    </row>
    <row r="17" spans="5:19" ht="15" customHeight="1" x14ac:dyDescent="0.25">
      <c r="E17" s="52"/>
      <c r="F17" s="17"/>
      <c r="G17" s="17"/>
      <c r="H17" s="17"/>
      <c r="I17" s="17"/>
      <c r="J17" s="17"/>
      <c r="K17" s="17"/>
      <c r="L17" s="52"/>
      <c r="M17" s="52"/>
      <c r="N17" s="17"/>
      <c r="O17" s="17"/>
      <c r="P17" s="17"/>
      <c r="Q17" s="17"/>
      <c r="R17" s="17"/>
      <c r="S17" s="17"/>
    </row>
    <row r="18" spans="5:19" ht="15" customHeight="1" x14ac:dyDescent="0.25">
      <c r="E18" s="52"/>
      <c r="F18" s="17"/>
      <c r="G18" s="17"/>
      <c r="H18" s="17"/>
      <c r="I18" s="17"/>
      <c r="J18" s="17"/>
      <c r="K18" s="17"/>
      <c r="L18" s="52"/>
      <c r="M18" s="52"/>
      <c r="N18" s="17"/>
      <c r="O18" s="17"/>
      <c r="P18" s="17"/>
      <c r="Q18" s="17"/>
      <c r="R18" s="17"/>
      <c r="S18" s="17"/>
    </row>
    <row r="19" spans="5:19" ht="15" customHeight="1" x14ac:dyDescent="0.25">
      <c r="E19" s="52"/>
      <c r="F19" s="17"/>
      <c r="G19" s="17"/>
      <c r="H19" s="17"/>
      <c r="I19" s="17"/>
      <c r="J19" s="17"/>
      <c r="K19" s="17"/>
      <c r="L19" s="52"/>
      <c r="M19" s="52"/>
      <c r="N19" s="17"/>
      <c r="O19" s="17"/>
      <c r="P19" s="17"/>
      <c r="Q19" s="17"/>
      <c r="R19" s="17"/>
      <c r="S19" s="17"/>
    </row>
    <row r="20" spans="5:19" ht="15" customHeight="1" x14ac:dyDescent="0.25">
      <c r="E20" s="52"/>
      <c r="F20" s="17"/>
      <c r="G20" s="17"/>
      <c r="H20" s="17"/>
      <c r="I20" s="17"/>
      <c r="J20" s="17"/>
      <c r="K20" s="17"/>
      <c r="L20" s="52"/>
      <c r="M20" s="52"/>
      <c r="N20" s="17"/>
      <c r="O20" s="17"/>
      <c r="P20" s="17"/>
      <c r="Q20" s="17"/>
      <c r="R20" s="17"/>
      <c r="S20" s="17"/>
    </row>
    <row r="21" spans="5:19" ht="15" customHeight="1" x14ac:dyDescent="0.25">
      <c r="E21" s="52"/>
      <c r="F21" s="17"/>
      <c r="G21" s="17"/>
      <c r="H21" s="17"/>
      <c r="I21" s="17"/>
      <c r="J21" s="17"/>
      <c r="K21" s="17"/>
      <c r="L21" s="52"/>
      <c r="M21" s="52"/>
      <c r="N21" s="17"/>
      <c r="O21" s="17"/>
      <c r="P21" s="17"/>
      <c r="Q21" s="17"/>
      <c r="R21" s="17"/>
      <c r="S21" s="17"/>
    </row>
    <row r="22" spans="5:19" ht="15" customHeight="1" x14ac:dyDescent="0.25">
      <c r="E22" s="52"/>
      <c r="F22" s="17"/>
      <c r="G22" s="17"/>
      <c r="H22" s="17"/>
      <c r="I22" s="17"/>
      <c r="J22" s="17"/>
      <c r="K22" s="17"/>
      <c r="L22" s="52"/>
      <c r="M22" s="52"/>
      <c r="N22" s="17"/>
      <c r="O22" s="17"/>
      <c r="P22" s="17"/>
      <c r="Q22" s="17"/>
      <c r="R22" s="17"/>
      <c r="S22" s="17"/>
    </row>
    <row r="23" spans="5:19" ht="15" customHeight="1" x14ac:dyDescent="0.25">
      <c r="E23" s="52"/>
      <c r="F23" s="17"/>
      <c r="G23" s="17"/>
      <c r="H23" s="17"/>
      <c r="I23" s="17"/>
      <c r="J23" s="17"/>
      <c r="K23" s="17"/>
      <c r="L23" s="52"/>
      <c r="M23" s="52"/>
      <c r="N23" s="17"/>
      <c r="O23" s="17"/>
      <c r="P23" s="17"/>
      <c r="Q23" s="17"/>
      <c r="R23" s="17"/>
      <c r="S23" s="17"/>
    </row>
    <row r="24" spans="5:19" ht="15" customHeight="1" x14ac:dyDescent="0.25">
      <c r="E24" s="52"/>
      <c r="F24" s="52"/>
      <c r="G24" s="52"/>
      <c r="H24" s="52"/>
      <c r="I24" s="52"/>
      <c r="J24" s="52"/>
      <c r="K24" s="52"/>
      <c r="L24" s="52"/>
      <c r="M24" s="52"/>
      <c r="N24" s="17"/>
      <c r="O24" s="17"/>
      <c r="P24" s="17"/>
      <c r="Q24" s="17"/>
      <c r="R24" s="17"/>
      <c r="S24" s="17"/>
    </row>
    <row r="25" spans="5:19" ht="15" customHeight="1" x14ac:dyDescent="0.25">
      <c r="E25" s="52"/>
      <c r="F25" s="17"/>
      <c r="G25" s="17"/>
      <c r="H25" s="17"/>
      <c r="I25" s="17"/>
      <c r="J25" s="17"/>
      <c r="K25" s="17"/>
      <c r="L25" s="52"/>
      <c r="M25" s="52"/>
      <c r="N25" s="17"/>
      <c r="O25" s="17"/>
      <c r="P25" s="17"/>
      <c r="Q25" s="17"/>
      <c r="R25" s="17"/>
      <c r="S25" s="17"/>
    </row>
    <row r="26" spans="5:19" ht="15" customHeight="1" x14ac:dyDescent="0.25">
      <c r="E26" s="52"/>
      <c r="F26" s="17"/>
      <c r="G26" s="17"/>
      <c r="H26" s="17"/>
      <c r="I26" s="17"/>
      <c r="J26" s="17"/>
      <c r="K26" s="17"/>
      <c r="L26" s="52"/>
      <c r="M26" s="52"/>
      <c r="N26" s="17"/>
      <c r="O26" s="17"/>
      <c r="P26" s="17"/>
      <c r="Q26" s="17"/>
      <c r="R26" s="17"/>
      <c r="S26" s="17"/>
    </row>
    <row r="27" spans="5:19" ht="15" customHeight="1" x14ac:dyDescent="0.25">
      <c r="E27" s="52"/>
      <c r="F27" s="17"/>
      <c r="G27" s="17"/>
      <c r="H27" s="17"/>
      <c r="I27" s="17"/>
      <c r="J27" s="17"/>
      <c r="K27" s="17"/>
      <c r="L27" s="52"/>
      <c r="M27" s="52"/>
      <c r="N27" s="17"/>
      <c r="O27" s="17"/>
      <c r="P27" s="17"/>
      <c r="Q27" s="17"/>
      <c r="R27" s="17"/>
      <c r="S27" s="17"/>
    </row>
    <row r="28" spans="5:19" ht="15" customHeight="1" x14ac:dyDescent="0.25">
      <c r="E28" s="52"/>
      <c r="F28" s="17"/>
      <c r="G28" s="17"/>
      <c r="H28" s="17"/>
      <c r="I28" s="17"/>
      <c r="J28" s="17"/>
      <c r="K28" s="17"/>
      <c r="L28" s="52"/>
      <c r="M28" s="52"/>
      <c r="N28" s="17"/>
      <c r="O28" s="17"/>
      <c r="P28" s="17"/>
      <c r="Q28" s="17"/>
      <c r="R28" s="17"/>
      <c r="S28" s="17"/>
    </row>
    <row r="29" spans="5:19" ht="15" customHeight="1" x14ac:dyDescent="0.25">
      <c r="E29" s="52"/>
      <c r="F29" s="17"/>
      <c r="G29" s="17"/>
      <c r="H29" s="17"/>
      <c r="I29" s="17"/>
      <c r="J29" s="17"/>
      <c r="K29" s="17"/>
      <c r="L29" s="52"/>
      <c r="M29" s="52"/>
      <c r="N29" s="17"/>
      <c r="O29" s="17"/>
      <c r="P29" s="17"/>
      <c r="Q29" s="17"/>
      <c r="R29" s="17"/>
      <c r="S29" s="17"/>
    </row>
    <row r="30" spans="5:19" ht="15" customHeight="1" x14ac:dyDescent="0.25">
      <c r="E30" s="52"/>
      <c r="F30" s="17"/>
      <c r="G30" s="17"/>
      <c r="H30" s="17"/>
      <c r="I30" s="17"/>
      <c r="J30" s="17"/>
      <c r="K30" s="17"/>
      <c r="L30" s="52"/>
      <c r="M30" s="52"/>
      <c r="N30" s="17"/>
      <c r="O30" s="17"/>
      <c r="P30" s="17"/>
      <c r="Q30" s="17"/>
      <c r="R30" s="17"/>
      <c r="S30" s="17"/>
    </row>
    <row r="31" spans="5:19" ht="15" customHeight="1" x14ac:dyDescent="0.25">
      <c r="E31" s="52"/>
      <c r="F31" s="17"/>
      <c r="G31" s="17"/>
      <c r="H31" s="17"/>
      <c r="I31" s="17"/>
      <c r="J31" s="17"/>
      <c r="K31" s="17"/>
      <c r="L31" s="52"/>
      <c r="M31" s="52"/>
      <c r="N31" s="17"/>
      <c r="O31" s="17"/>
      <c r="P31" s="17"/>
      <c r="Q31" s="17"/>
      <c r="R31" s="17"/>
      <c r="S31" s="17"/>
    </row>
    <row r="32" spans="5:19" ht="15" customHeight="1" x14ac:dyDescent="0.25">
      <c r="E32" s="52"/>
      <c r="F32" s="17"/>
      <c r="G32" s="17"/>
      <c r="H32" s="17"/>
      <c r="I32" s="17"/>
      <c r="J32" s="17"/>
      <c r="K32" s="17"/>
      <c r="L32" s="52"/>
      <c r="M32" s="52"/>
      <c r="N32" s="52"/>
      <c r="O32" s="52"/>
      <c r="P32" s="52"/>
      <c r="Q32" s="52"/>
      <c r="R32" s="52"/>
      <c r="S32" s="52"/>
    </row>
    <row r="33" spans="5:19" ht="15" customHeight="1" x14ac:dyDescent="0.25">
      <c r="E33" s="52"/>
      <c r="F33" s="17"/>
      <c r="G33" s="17"/>
      <c r="H33" s="17"/>
      <c r="I33" s="17"/>
      <c r="J33" s="17"/>
      <c r="K33" s="17"/>
      <c r="L33" s="52"/>
      <c r="M33" s="52"/>
      <c r="N33" s="17"/>
      <c r="O33" s="17"/>
      <c r="P33" s="17"/>
      <c r="Q33" s="17"/>
      <c r="R33" s="17"/>
      <c r="S33" s="17"/>
    </row>
    <row r="34" spans="5:19" ht="15" customHeight="1" x14ac:dyDescent="0.25">
      <c r="E34" s="52"/>
      <c r="F34" s="17"/>
      <c r="G34" s="17"/>
      <c r="H34" s="17"/>
      <c r="I34" s="17"/>
      <c r="J34" s="17"/>
      <c r="K34" s="17"/>
      <c r="L34" s="52"/>
      <c r="M34" s="52"/>
      <c r="N34" s="17"/>
      <c r="O34" s="17"/>
      <c r="P34" s="17"/>
      <c r="Q34" s="17"/>
      <c r="R34" s="17"/>
      <c r="S34" s="17"/>
    </row>
    <row r="35" spans="5:19" ht="15" customHeight="1" x14ac:dyDescent="0.25">
      <c r="E35" s="52"/>
      <c r="F35" s="52"/>
      <c r="G35" s="52"/>
      <c r="H35" s="52"/>
      <c r="I35" s="52"/>
      <c r="J35" s="52"/>
      <c r="K35" s="52"/>
      <c r="L35" s="52"/>
      <c r="M35" s="52"/>
      <c r="N35" s="17"/>
      <c r="O35" s="17"/>
      <c r="P35" s="17"/>
      <c r="Q35" s="17"/>
      <c r="R35" s="17"/>
      <c r="S35" s="17"/>
    </row>
    <row r="36" spans="5:19" ht="15" customHeight="1" x14ac:dyDescent="0.25">
      <c r="E36" s="52"/>
      <c r="F36" s="17"/>
      <c r="G36" s="17"/>
      <c r="H36" s="17"/>
      <c r="I36" s="17"/>
      <c r="J36" s="17"/>
      <c r="K36" s="17"/>
      <c r="L36" s="52"/>
      <c r="M36" s="52"/>
      <c r="N36" s="17"/>
      <c r="O36" s="17"/>
      <c r="P36" s="17"/>
      <c r="Q36" s="17"/>
      <c r="R36" s="17"/>
      <c r="S36" s="17"/>
    </row>
    <row r="37" spans="5:19" ht="15" customHeight="1" x14ac:dyDescent="0.25">
      <c r="E37" s="52"/>
      <c r="F37" s="17"/>
      <c r="G37" s="17"/>
      <c r="H37" s="17"/>
      <c r="I37" s="17"/>
      <c r="J37" s="17"/>
      <c r="K37" s="17"/>
      <c r="L37" s="52"/>
      <c r="M37" s="52"/>
      <c r="N37" s="17"/>
      <c r="O37" s="17"/>
      <c r="P37" s="17"/>
      <c r="Q37" s="17"/>
      <c r="R37" s="17"/>
      <c r="S37" s="17"/>
    </row>
    <row r="38" spans="5:19" ht="15" customHeight="1" x14ac:dyDescent="0.25">
      <c r="E38" s="52"/>
      <c r="F38" s="17"/>
      <c r="G38" s="17"/>
      <c r="H38" s="17"/>
      <c r="I38" s="17"/>
      <c r="J38" s="17"/>
      <c r="K38" s="17"/>
      <c r="L38" s="52"/>
      <c r="M38" s="52"/>
      <c r="N38" s="17"/>
      <c r="O38" s="17"/>
      <c r="P38" s="17"/>
      <c r="Q38" s="17"/>
      <c r="R38" s="17"/>
      <c r="S38" s="17"/>
    </row>
    <row r="39" spans="5:19" ht="15" customHeight="1" x14ac:dyDescent="0.25">
      <c r="E39" s="52"/>
      <c r="F39" s="17"/>
      <c r="G39" s="17"/>
      <c r="H39" s="17"/>
      <c r="I39" s="17"/>
      <c r="J39" s="17"/>
      <c r="K39" s="17"/>
      <c r="L39" s="52"/>
      <c r="M39" s="52"/>
      <c r="N39" s="17"/>
      <c r="O39" s="17"/>
      <c r="P39" s="17"/>
      <c r="Q39" s="17"/>
      <c r="R39" s="17"/>
      <c r="S39" s="17"/>
    </row>
    <row r="40" spans="5:19" ht="15" customHeight="1" x14ac:dyDescent="0.25">
      <c r="E40" s="52"/>
      <c r="F40" s="17"/>
      <c r="G40" s="17"/>
      <c r="H40" s="17"/>
      <c r="I40" s="17"/>
      <c r="J40" s="17"/>
      <c r="K40" s="17"/>
      <c r="L40" s="52"/>
      <c r="M40" s="52"/>
      <c r="N40" s="17"/>
      <c r="O40" s="17"/>
      <c r="P40" s="17"/>
      <c r="Q40" s="17"/>
      <c r="R40" s="17"/>
      <c r="S40" s="17"/>
    </row>
    <row r="41" spans="5:19" ht="15" customHeight="1" x14ac:dyDescent="0.25">
      <c r="E41" s="52"/>
      <c r="F41" s="17"/>
      <c r="G41" s="17"/>
      <c r="H41" s="17"/>
      <c r="I41" s="17"/>
      <c r="J41" s="17"/>
      <c r="K41" s="17"/>
      <c r="L41" s="52"/>
      <c r="M41" s="52"/>
      <c r="N41" s="17"/>
      <c r="O41" s="17"/>
      <c r="P41" s="17"/>
      <c r="Q41" s="17"/>
      <c r="R41" s="17"/>
      <c r="S41" s="17"/>
    </row>
    <row r="42" spans="5:19" ht="15" customHeight="1" x14ac:dyDescent="0.25">
      <c r="E42" s="52"/>
      <c r="F42" s="17"/>
      <c r="G42" s="17"/>
      <c r="H42" s="17"/>
      <c r="I42" s="17"/>
      <c r="J42" s="17"/>
      <c r="K42" s="17"/>
      <c r="L42" s="52"/>
      <c r="M42" s="52"/>
      <c r="N42" s="17"/>
      <c r="O42" s="17"/>
      <c r="P42" s="17"/>
      <c r="Q42" s="17"/>
      <c r="R42" s="17"/>
      <c r="S42" s="17"/>
    </row>
    <row r="43" spans="5:19" ht="15" customHeight="1" x14ac:dyDescent="0.25">
      <c r="E43" s="52"/>
      <c r="F43" s="17"/>
      <c r="G43" s="17"/>
      <c r="H43" s="17"/>
      <c r="I43" s="17"/>
      <c r="J43" s="17"/>
      <c r="K43" s="17"/>
      <c r="L43" s="52"/>
      <c r="M43" s="52"/>
      <c r="N43" s="17"/>
      <c r="O43" s="17"/>
      <c r="P43" s="17"/>
      <c r="Q43" s="17"/>
      <c r="R43" s="17"/>
      <c r="S43" s="17"/>
    </row>
    <row r="44" spans="5:19" ht="15" customHeight="1" x14ac:dyDescent="0.25">
      <c r="E44" s="52"/>
      <c r="F44" s="17"/>
      <c r="G44" s="17"/>
      <c r="H44" s="17"/>
      <c r="I44" s="17"/>
      <c r="J44" s="17"/>
      <c r="K44" s="17"/>
      <c r="L44" s="52"/>
      <c r="M44" s="52"/>
      <c r="N44" s="17"/>
      <c r="O44" s="17"/>
      <c r="P44" s="17"/>
      <c r="Q44" s="17"/>
      <c r="R44" s="17"/>
      <c r="S44" s="17"/>
    </row>
    <row r="45" spans="5:19" ht="15" customHeight="1" x14ac:dyDescent="0.25">
      <c r="E45" s="52"/>
      <c r="F45" s="17"/>
      <c r="G45" s="17"/>
      <c r="H45" s="17"/>
      <c r="I45" s="17"/>
      <c r="J45" s="17"/>
      <c r="K45" s="17"/>
      <c r="L45" s="52"/>
      <c r="M45" s="52"/>
      <c r="N45" s="17"/>
      <c r="O45" s="17"/>
      <c r="P45" s="17"/>
      <c r="Q45" s="17"/>
      <c r="R45" s="17"/>
      <c r="S45" s="17"/>
    </row>
    <row r="46" spans="5:19" ht="15" customHeight="1" x14ac:dyDescent="0.25">
      <c r="E46" s="52"/>
      <c r="F46" s="17"/>
      <c r="G46" s="17"/>
      <c r="H46" s="17"/>
      <c r="I46" s="17"/>
      <c r="J46" s="17"/>
      <c r="K46" s="17"/>
      <c r="L46" s="52"/>
      <c r="M46" s="52"/>
      <c r="N46" s="17"/>
      <c r="O46" s="17"/>
      <c r="P46" s="17"/>
      <c r="Q46" s="17"/>
      <c r="R46" s="17"/>
      <c r="S46" s="17"/>
    </row>
    <row r="47" spans="5:19" ht="15" customHeight="1" x14ac:dyDescent="0.25">
      <c r="E47" s="52"/>
      <c r="F47" s="17"/>
      <c r="G47" s="17"/>
      <c r="H47" s="17"/>
      <c r="I47" s="17"/>
      <c r="J47" s="17"/>
      <c r="K47" s="17"/>
      <c r="L47" s="52"/>
      <c r="M47" s="52"/>
      <c r="N47" s="17"/>
      <c r="O47" s="17"/>
      <c r="P47" s="17"/>
      <c r="Q47" s="17"/>
      <c r="R47" s="17"/>
      <c r="S47" s="17"/>
    </row>
    <row r="48" spans="5:19" ht="15" customHeight="1" x14ac:dyDescent="0.25">
      <c r="E48" s="52"/>
      <c r="F48" s="52"/>
      <c r="G48" s="52"/>
      <c r="H48" s="52"/>
      <c r="I48" s="52"/>
      <c r="J48" s="52"/>
      <c r="K48" s="52"/>
      <c r="L48" s="52"/>
      <c r="M48" s="52"/>
      <c r="N48" s="17"/>
      <c r="O48" s="17"/>
      <c r="P48" s="17"/>
      <c r="Q48" s="17"/>
      <c r="R48" s="17"/>
      <c r="S48" s="17"/>
    </row>
    <row r="49" spans="5:19" ht="15" customHeight="1" x14ac:dyDescent="0.25">
      <c r="E49" s="52"/>
      <c r="F49" s="52"/>
      <c r="G49" s="52"/>
      <c r="H49" s="52"/>
      <c r="I49" s="52"/>
      <c r="J49" s="52"/>
      <c r="K49" s="52"/>
      <c r="L49" s="52"/>
      <c r="M49" s="52"/>
      <c r="N49" s="17"/>
      <c r="O49" s="17"/>
      <c r="P49" s="17"/>
      <c r="Q49" s="17"/>
      <c r="R49" s="17"/>
      <c r="S49" s="17"/>
    </row>
    <row r="50" spans="5:19" ht="15" customHeight="1" x14ac:dyDescent="0.25">
      <c r="E50" s="52"/>
      <c r="F50" s="52"/>
      <c r="G50" s="52"/>
      <c r="H50" s="52"/>
      <c r="I50" s="52"/>
      <c r="J50" s="52"/>
      <c r="K50" s="52"/>
      <c r="L50" s="52"/>
      <c r="M50" s="52"/>
      <c r="N50" s="17"/>
      <c r="O50" s="17"/>
      <c r="P50" s="17"/>
      <c r="Q50" s="17"/>
      <c r="R50" s="17"/>
      <c r="S50" s="17"/>
    </row>
  </sheetData>
  <sheetProtection sheet="1" objects="1" scenarios="1"/>
  <customSheetViews>
    <customSheetView guid="{4ADA534B-DCF1-41A0-903F-BF3907DC4701}" state="hidden">
      <selection activeCell="E1" sqref="E1:E3"/>
    </customSheetView>
    <customSheetView guid="{C0648E25-1909-4A90-B488-27428350B38C}">
      <selection activeCell="E1" sqref="E1:E3"/>
    </customSheetView>
  </customSheetView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42" t="s">
        <v>11</v>
      </c>
      <c r="B1" s="143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144"/>
      <c r="B2" s="145"/>
      <c r="C2" s="54">
        <v>1</v>
      </c>
      <c r="D2" s="54">
        <v>1</v>
      </c>
      <c r="E2" s="54">
        <v>3</v>
      </c>
      <c r="F2" s="146"/>
      <c r="G2" s="147"/>
      <c r="I2" s="113" t="s">
        <v>58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A1:B2"/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42" t="s">
        <v>11</v>
      </c>
      <c r="B1" s="143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144"/>
      <c r="B2" s="145"/>
      <c r="C2" s="109">
        <v>1</v>
      </c>
      <c r="D2" s="109">
        <v>1</v>
      </c>
      <c r="E2" s="109">
        <v>3</v>
      </c>
      <c r="F2" s="146"/>
      <c r="G2" s="147"/>
      <c r="I2" s="113" t="s">
        <v>57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A1:B2"/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9"/>
      <c r="C2" s="109">
        <v>2</v>
      </c>
      <c r="D2" s="109">
        <v>3</v>
      </c>
      <c r="E2" s="109">
        <v>3</v>
      </c>
      <c r="F2" s="146"/>
      <c r="G2" s="147"/>
      <c r="I2" s="113" t="s">
        <v>52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9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9"/>
      <c r="C2" s="109">
        <v>2</v>
      </c>
      <c r="D2" s="109">
        <v>3</v>
      </c>
      <c r="E2" s="109">
        <v>3</v>
      </c>
      <c r="F2" s="146"/>
      <c r="G2" s="147"/>
      <c r="I2" s="113" t="s">
        <v>56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2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9"/>
      <c r="C2" s="109">
        <v>2</v>
      </c>
      <c r="D2" s="109">
        <v>3</v>
      </c>
      <c r="E2" s="109">
        <v>3</v>
      </c>
      <c r="F2" s="146"/>
      <c r="G2" s="147"/>
      <c r="I2" s="113" t="s">
        <v>55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9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9"/>
      <c r="C2" s="109">
        <v>3</v>
      </c>
      <c r="D2" s="109">
        <v>36</v>
      </c>
      <c r="E2" s="109">
        <v>3</v>
      </c>
      <c r="F2" s="146"/>
      <c r="G2" s="147"/>
      <c r="I2" s="113" t="s">
        <v>53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7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42" t="s">
        <v>11</v>
      </c>
      <c r="B1" s="143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148"/>
      <c r="B2" s="149"/>
      <c r="C2" s="1">
        <v>1</v>
      </c>
      <c r="D2" s="1">
        <v>1</v>
      </c>
      <c r="E2" s="1">
        <v>3</v>
      </c>
      <c r="F2" s="135"/>
      <c r="G2" s="136"/>
      <c r="I2" s="113" t="s">
        <v>58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56">
        <v>1</v>
      </c>
      <c r="C4" s="56">
        <v>2</v>
      </c>
      <c r="D4" s="56">
        <v>2</v>
      </c>
      <c r="E4" s="56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3">
    <mergeCell ref="A1:B2"/>
    <mergeCell ref="F1:G2"/>
    <mergeCell ref="F3:G4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42" t="s">
        <v>11</v>
      </c>
      <c r="B1" s="143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148"/>
      <c r="B2" s="149"/>
      <c r="C2" s="110">
        <v>1</v>
      </c>
      <c r="D2" s="110">
        <v>1</v>
      </c>
      <c r="E2" s="110">
        <v>3</v>
      </c>
      <c r="F2" s="135"/>
      <c r="G2" s="136"/>
      <c r="I2" s="113" t="s">
        <v>57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2</v>
      </c>
      <c r="D4" s="111">
        <v>2</v>
      </c>
      <c r="E4" s="111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3">
    <mergeCell ref="A1:B2"/>
    <mergeCell ref="F1:G2"/>
    <mergeCell ref="F3:G4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3</v>
      </c>
      <c r="D4" s="111">
        <v>6</v>
      </c>
      <c r="E4" s="111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8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3</v>
      </c>
      <c r="D4" s="111">
        <v>6</v>
      </c>
      <c r="E4" s="111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5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3</v>
      </c>
      <c r="D4" s="111">
        <v>6</v>
      </c>
      <c r="E4" s="111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8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4</v>
      </c>
      <c r="D4" s="111">
        <v>12</v>
      </c>
      <c r="E4" s="111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6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4</v>
      </c>
      <c r="D4" s="111">
        <v>8</v>
      </c>
      <c r="E4" s="111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1</v>
      </c>
      <c r="D6" s="58">
        <v>3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1</v>
      </c>
      <c r="D6" s="58">
        <v>3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2</v>
      </c>
      <c r="D6" s="58">
        <v>9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7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2</v>
      </c>
      <c r="D6" s="58">
        <v>9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4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2</v>
      </c>
      <c r="D6" s="58">
        <v>9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7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3</v>
      </c>
      <c r="D6" s="58">
        <v>18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5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3</v>
      </c>
      <c r="D6" s="58">
        <v>12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2</v>
      </c>
      <c r="D8" s="61">
        <v>4</v>
      </c>
      <c r="E8" s="61">
        <v>2</v>
      </c>
      <c r="F8" s="61">
        <v>1</v>
      </c>
      <c r="G8" s="6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2</v>
      </c>
      <c r="D8" s="61">
        <v>4</v>
      </c>
      <c r="E8" s="61">
        <v>2</v>
      </c>
      <c r="F8" s="61">
        <v>1</v>
      </c>
      <c r="G8" s="6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3</v>
      </c>
      <c r="D8" s="61">
        <v>12</v>
      </c>
      <c r="E8" s="61">
        <v>2</v>
      </c>
      <c r="F8" s="61">
        <v>1</v>
      </c>
      <c r="G8" s="6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6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3</v>
      </c>
      <c r="D8" s="61">
        <v>12</v>
      </c>
      <c r="E8" s="61">
        <v>2</v>
      </c>
      <c r="F8" s="61">
        <v>1</v>
      </c>
      <c r="G8" s="6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3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3</v>
      </c>
      <c r="D8" s="61">
        <v>12</v>
      </c>
      <c r="E8" s="61">
        <v>2</v>
      </c>
      <c r="F8" s="61">
        <v>1</v>
      </c>
      <c r="G8" s="6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6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4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4</v>
      </c>
      <c r="D8" s="61">
        <v>16</v>
      </c>
      <c r="E8" s="61">
        <v>2</v>
      </c>
      <c r="F8" s="61">
        <v>1</v>
      </c>
      <c r="G8" s="6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51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1</v>
      </c>
      <c r="D10" s="64">
        <v>5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51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1</v>
      </c>
      <c r="D10" s="64">
        <v>5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2</v>
      </c>
      <c r="D10" s="64">
        <v>15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0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2</v>
      </c>
      <c r="D10" s="64">
        <v>15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1"/>
  <dimension ref="A1:I10"/>
  <sheetViews>
    <sheetView workbookViewId="0">
      <selection activeCell="I5" sqref="I5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2</v>
      </c>
      <c r="D10" s="64">
        <v>15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5" sqref="I5"/>
    </customSheetView>
    <customSheetView guid="{C0648E25-1909-4A90-B488-27428350B38C}">
      <selection activeCell="I5" sqref="I5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5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3</v>
      </c>
      <c r="D10" s="64">
        <v>30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3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3</v>
      </c>
      <c r="D10" s="64">
        <v>20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2</v>
      </c>
      <c r="D12" s="67">
        <v>2</v>
      </c>
      <c r="E12" s="67">
        <v>6</v>
      </c>
      <c r="F12" s="67">
        <v>1</v>
      </c>
      <c r="G12" s="68">
        <v>1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2</v>
      </c>
      <c r="D12" s="67">
        <v>2</v>
      </c>
      <c r="E12" s="67">
        <v>6</v>
      </c>
      <c r="F12" s="67">
        <v>1</v>
      </c>
      <c r="G12" s="68">
        <v>1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3</v>
      </c>
      <c r="D12" s="67">
        <v>4</v>
      </c>
      <c r="E12" s="67">
        <v>6</v>
      </c>
      <c r="F12" s="67">
        <v>1</v>
      </c>
      <c r="G12" s="68">
        <v>2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1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2</v>
      </c>
      <c r="D12" s="67">
        <v>2</v>
      </c>
      <c r="E12" s="67">
        <v>6</v>
      </c>
      <c r="F12" s="67">
        <v>1</v>
      </c>
      <c r="G12" s="68">
        <v>1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3</v>
      </c>
      <c r="D12" s="67">
        <v>4</v>
      </c>
      <c r="E12" s="67">
        <v>6</v>
      </c>
      <c r="F12" s="67">
        <v>1</v>
      </c>
      <c r="G12" s="68">
        <v>2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4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4</v>
      </c>
      <c r="D12" s="67">
        <v>7</v>
      </c>
      <c r="E12" s="67">
        <v>6</v>
      </c>
      <c r="F12" s="67">
        <v>1</v>
      </c>
      <c r="G12" s="68">
        <v>3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2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4</v>
      </c>
      <c r="D12" s="67">
        <v>5</v>
      </c>
      <c r="E12" s="67">
        <v>6</v>
      </c>
      <c r="F12" s="67">
        <v>1</v>
      </c>
      <c r="G12" s="68">
        <v>3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1</v>
      </c>
      <c r="D14" s="73">
        <v>2</v>
      </c>
      <c r="E14" s="73">
        <v>8</v>
      </c>
      <c r="F14" s="73">
        <v>1</v>
      </c>
      <c r="G14" s="74">
        <v>3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1</v>
      </c>
      <c r="D14" s="73">
        <v>2</v>
      </c>
      <c r="E14" s="73">
        <v>8</v>
      </c>
      <c r="F14" s="73">
        <v>1</v>
      </c>
      <c r="G14" s="74">
        <v>3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2</v>
      </c>
      <c r="D14" s="73">
        <v>5</v>
      </c>
      <c r="E14" s="73">
        <v>8</v>
      </c>
      <c r="F14" s="73">
        <v>1</v>
      </c>
      <c r="G14" s="74">
        <v>4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2</v>
      </c>
      <c r="D14" s="73">
        <v>5</v>
      </c>
      <c r="E14" s="73">
        <v>8</v>
      </c>
      <c r="F14" s="73">
        <v>1</v>
      </c>
      <c r="G14" s="74">
        <v>4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2</v>
      </c>
      <c r="D14" s="73">
        <v>5</v>
      </c>
      <c r="E14" s="73">
        <v>8</v>
      </c>
      <c r="F14" s="73">
        <v>1</v>
      </c>
      <c r="G14" s="74">
        <v>4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3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7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3</v>
      </c>
      <c r="D14" s="73">
        <v>8</v>
      </c>
      <c r="E14" s="73">
        <v>8</v>
      </c>
      <c r="F14" s="73">
        <v>1</v>
      </c>
      <c r="G14" s="74">
        <v>5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1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5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3</v>
      </c>
      <c r="D14" s="73">
        <v>6</v>
      </c>
      <c r="E14" s="73">
        <v>8</v>
      </c>
      <c r="F14" s="73">
        <v>1</v>
      </c>
      <c r="G14" s="74">
        <v>5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2</v>
      </c>
      <c r="D16" s="70">
        <v>2</v>
      </c>
      <c r="E16" s="70">
        <v>3</v>
      </c>
      <c r="F16" s="70">
        <v>1</v>
      </c>
      <c r="G16" s="71">
        <v>6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2</v>
      </c>
      <c r="D16" s="70">
        <v>2</v>
      </c>
      <c r="E16" s="70">
        <v>3</v>
      </c>
      <c r="F16" s="70">
        <v>1</v>
      </c>
      <c r="G16" s="71">
        <v>6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3</v>
      </c>
      <c r="D16" s="70">
        <v>6</v>
      </c>
      <c r="E16" s="70">
        <v>3</v>
      </c>
      <c r="F16" s="70">
        <v>1</v>
      </c>
      <c r="G16" s="71">
        <v>7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6"/>
  <dimension ref="A1:I16"/>
  <sheetViews>
    <sheetView workbookViewId="0">
      <selection activeCell="L9" sqref="L9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3</v>
      </c>
      <c r="D16" s="70">
        <v>6</v>
      </c>
      <c r="E16" s="70">
        <v>3</v>
      </c>
      <c r="F16" s="70">
        <v>1</v>
      </c>
      <c r="G16" s="71">
        <v>7</v>
      </c>
    </row>
  </sheetData>
  <customSheetViews>
    <customSheetView guid="{4ADA534B-DCF1-41A0-903F-BF3907DC4701}" state="hidden">
      <selection activeCell="L9" sqref="L9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7"/>
  <dimension ref="A1:I16"/>
  <sheetViews>
    <sheetView workbookViewId="0">
      <selection activeCell="I16" sqref="I16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3</v>
      </c>
      <c r="D16" s="70">
        <v>6</v>
      </c>
      <c r="E16" s="70">
        <v>3</v>
      </c>
      <c r="F16" s="70">
        <v>1</v>
      </c>
      <c r="G16" s="71">
        <v>7</v>
      </c>
    </row>
  </sheetData>
  <customSheetViews>
    <customSheetView guid="{4ADA534B-DCF1-41A0-903F-BF3907DC4701}" state="hidden">
      <selection activeCell="I16" sqref="I16"/>
    </customSheetView>
    <customSheetView guid="{C0648E25-1909-4A90-B488-27428350B38C}">
      <selection activeCell="I16" sqref="I16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2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7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8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4</v>
      </c>
      <c r="D16" s="70">
        <v>9</v>
      </c>
      <c r="E16" s="70">
        <v>3</v>
      </c>
      <c r="F16" s="70">
        <v>1</v>
      </c>
      <c r="G16" s="71">
        <v>8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0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5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6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4</v>
      </c>
      <c r="D16" s="15">
        <v>7</v>
      </c>
      <c r="E16" s="15">
        <v>3</v>
      </c>
      <c r="F16" s="15">
        <v>1</v>
      </c>
      <c r="G16" s="45">
        <v>8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2</v>
      </c>
      <c r="D16" s="15">
        <v>2</v>
      </c>
      <c r="E16" s="15">
        <v>3</v>
      </c>
      <c r="F16" s="15">
        <v>1</v>
      </c>
      <c r="G16" s="45">
        <v>6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3</v>
      </c>
      <c r="D18" s="50">
        <v>1</v>
      </c>
      <c r="E18" s="50">
        <v>5</v>
      </c>
      <c r="F18" s="50">
        <v>1</v>
      </c>
      <c r="G18" s="51">
        <v>10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3</v>
      </c>
      <c r="D16" s="15">
        <v>6</v>
      </c>
      <c r="E16" s="15">
        <v>3</v>
      </c>
      <c r="F16" s="15">
        <v>1</v>
      </c>
      <c r="G16" s="45">
        <v>7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4</v>
      </c>
      <c r="D18" s="50">
        <v>2</v>
      </c>
      <c r="E18" s="50">
        <v>5</v>
      </c>
      <c r="F18" s="50">
        <v>1</v>
      </c>
      <c r="G18" s="51">
        <v>11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7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8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4</v>
      </c>
      <c r="D16" s="15">
        <v>9</v>
      </c>
      <c r="E16" s="15">
        <v>3</v>
      </c>
      <c r="F16" s="15">
        <v>1</v>
      </c>
      <c r="G16" s="45">
        <v>8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5</v>
      </c>
      <c r="D18" s="50">
        <v>2</v>
      </c>
      <c r="E18" s="50">
        <v>5</v>
      </c>
      <c r="F18" s="50">
        <v>1</v>
      </c>
      <c r="G18" s="51">
        <v>12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5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6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4</v>
      </c>
      <c r="D16" s="15">
        <v>7</v>
      </c>
      <c r="E16" s="15">
        <v>3</v>
      </c>
      <c r="F16" s="15">
        <v>1</v>
      </c>
      <c r="G16" s="45">
        <v>8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5</v>
      </c>
      <c r="D18" s="50">
        <v>2</v>
      </c>
      <c r="E18" s="50">
        <v>5</v>
      </c>
      <c r="F18" s="50">
        <v>1</v>
      </c>
      <c r="G18" s="51">
        <v>12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3</v>
      </c>
      <c r="D16" s="15">
        <v>6</v>
      </c>
      <c r="E16" s="15">
        <v>3</v>
      </c>
      <c r="F16" s="15">
        <v>1</v>
      </c>
      <c r="G16" s="45">
        <v>7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4</v>
      </c>
      <c r="D18" s="50">
        <v>2</v>
      </c>
      <c r="E18" s="50">
        <v>5</v>
      </c>
      <c r="F18" s="50">
        <v>1</v>
      </c>
      <c r="G18" s="51">
        <v>11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3</v>
      </c>
      <c r="D16" s="15">
        <v>6</v>
      </c>
      <c r="E16" s="15">
        <v>3</v>
      </c>
      <c r="F16" s="15">
        <v>1</v>
      </c>
      <c r="G16" s="45">
        <v>7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4</v>
      </c>
      <c r="D18" s="50">
        <v>2</v>
      </c>
      <c r="E18" s="50">
        <v>5</v>
      </c>
      <c r="F18" s="50">
        <v>1</v>
      </c>
      <c r="G18" s="51">
        <v>11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2</v>
      </c>
      <c r="D16" s="15">
        <v>2</v>
      </c>
      <c r="E16" s="15">
        <v>3</v>
      </c>
      <c r="F16" s="15">
        <v>1</v>
      </c>
      <c r="G16" s="45">
        <v>6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3</v>
      </c>
      <c r="D18" s="50">
        <v>1</v>
      </c>
      <c r="E18" s="50">
        <v>5</v>
      </c>
      <c r="F18" s="50">
        <v>1</v>
      </c>
      <c r="G18" s="51">
        <v>10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65</vt:i4>
      </vt:variant>
      <vt:variant>
        <vt:lpstr>Benannte Bereiche</vt:lpstr>
      </vt:variant>
      <vt:variant>
        <vt:i4>3</vt:i4>
      </vt:variant>
    </vt:vector>
  </HeadingPairs>
  <TitlesOfParts>
    <vt:vector size="68" baseType="lpstr">
      <vt:lpstr>Crafting &amp; Mats Calculator</vt:lpstr>
      <vt:lpstr>List &amp; Dump</vt:lpstr>
      <vt:lpstr>Apprentice - Belt</vt:lpstr>
      <vt:lpstr>Apprentice - Guards</vt:lpstr>
      <vt:lpstr>Apprentice - Cap</vt:lpstr>
      <vt:lpstr>Apprentice - Boots</vt:lpstr>
      <vt:lpstr>Apprentice - Fists</vt:lpstr>
      <vt:lpstr>Apprentice - Jerkin</vt:lpstr>
      <vt:lpstr>Apprentice - Breeches</vt:lpstr>
      <vt:lpstr>Craftsman - Belt</vt:lpstr>
      <vt:lpstr>Craftsman - Guards</vt:lpstr>
      <vt:lpstr>Craftsman - Cap</vt:lpstr>
      <vt:lpstr>Craftsman - Boots</vt:lpstr>
      <vt:lpstr>Craftsman - Fists</vt:lpstr>
      <vt:lpstr>Craftsman - Jerkin</vt:lpstr>
      <vt:lpstr>Craftsman -Breeches</vt:lpstr>
      <vt:lpstr>Artificer - Belt</vt:lpstr>
      <vt:lpstr>Artificer - Guards</vt:lpstr>
      <vt:lpstr>Artificer - Cap</vt:lpstr>
      <vt:lpstr>Artificer - Boots</vt:lpstr>
      <vt:lpstr>Artificer - Fists</vt:lpstr>
      <vt:lpstr>Artificer - Jerkin</vt:lpstr>
      <vt:lpstr>Artificer - Breeches</vt:lpstr>
      <vt:lpstr>Artisan - Belt</vt:lpstr>
      <vt:lpstr>Artisan - Guards</vt:lpstr>
      <vt:lpstr>Artisan - Cap</vt:lpstr>
      <vt:lpstr>Artisan - Boots</vt:lpstr>
      <vt:lpstr>Artisan - Fists</vt:lpstr>
      <vt:lpstr>Artisan - Jerkin</vt:lpstr>
      <vt:lpstr>Artisan - Breeches</vt:lpstr>
      <vt:lpstr>Conqueror - Belt</vt:lpstr>
      <vt:lpstr>Conqueror - Guards</vt:lpstr>
      <vt:lpstr>Conqueror - Cap</vt:lpstr>
      <vt:lpstr>Conqueror - Boots</vt:lpstr>
      <vt:lpstr>Conqueror - Fists</vt:lpstr>
      <vt:lpstr>Conqueror - Jerkin</vt:lpstr>
      <vt:lpstr>Conqueror - Breeches</vt:lpstr>
      <vt:lpstr>Illustrious - Belt</vt:lpstr>
      <vt:lpstr>Illustrious - Guards</vt:lpstr>
      <vt:lpstr>Illustrious - Cap</vt:lpstr>
      <vt:lpstr>Illustrious - Boots</vt:lpstr>
      <vt:lpstr>Illustrious - Fists</vt:lpstr>
      <vt:lpstr>Illustrious - Jerkin</vt:lpstr>
      <vt:lpstr>Illustrious - Breeches</vt:lpstr>
      <vt:lpstr>Magnificent - Belt</vt:lpstr>
      <vt:lpstr>Magnificent - Guards</vt:lpstr>
      <vt:lpstr>Magnificent - Cap</vt:lpstr>
      <vt:lpstr>Magnificent - Boots</vt:lpstr>
      <vt:lpstr>Magnificent - Fists</vt:lpstr>
      <vt:lpstr>Magnificent - Jerkin</vt:lpstr>
      <vt:lpstr>Magnificent - Breeches</vt:lpstr>
      <vt:lpstr>Epherium - Belt</vt:lpstr>
      <vt:lpstr>Epherium - Guards</vt:lpstr>
      <vt:lpstr>Epherium - Cap</vt:lpstr>
      <vt:lpstr>Epherium - Boots</vt:lpstr>
      <vt:lpstr>Epherium - Fists</vt:lpstr>
      <vt:lpstr>Epherium - Jerkin</vt:lpstr>
      <vt:lpstr>Epherium - Breeches</vt:lpstr>
      <vt:lpstr>Delphinad - Belt</vt:lpstr>
      <vt:lpstr>Delphinad - Cap</vt:lpstr>
      <vt:lpstr>Delphinad - Jerkin</vt:lpstr>
      <vt:lpstr>Delphinad - Breeches</vt:lpstr>
      <vt:lpstr>Delphinad - Fists</vt:lpstr>
      <vt:lpstr>Delphinad - Boots</vt:lpstr>
      <vt:lpstr>Delphinad - Guards</vt:lpstr>
      <vt:lpstr>Kind</vt:lpstr>
      <vt:lpstr>Level</vt:lpstr>
      <vt:lpstr>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Lavaground</dc:creator>
  <cp:lastModifiedBy>Lavaground</cp:lastModifiedBy>
  <dcterms:created xsi:type="dcterms:W3CDTF">2015-01-14T13:37:25Z</dcterms:created>
  <dcterms:modified xsi:type="dcterms:W3CDTF">2015-01-16T23:48:29Z</dcterms:modified>
</cp:coreProperties>
</file>